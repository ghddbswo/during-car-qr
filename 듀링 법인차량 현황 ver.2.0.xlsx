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during-car-qr-main\during-car-qr-main\data\"/>
    </mc:Choice>
  </mc:AlternateContent>
  <xr:revisionPtr revIDLastSave="0" documentId="13_ncr:1_{798DDC96-BF09-4C76-A81C-27A871D833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법인차량현황" sheetId="1" r:id="rId1"/>
    <sheet name="정비이력" sheetId="3" r:id="rId2"/>
    <sheet name="Sheet1" sheetId="4" r:id="rId3"/>
    <sheet name="분류항목" sheetId="2" state="hidden" r:id="rId4"/>
  </sheets>
  <definedNames>
    <definedName name="_xlnm._FilterDatabase" localSheetId="0" hidden="1">법인차량현황!$A$1:$M$1</definedName>
    <definedName name="_xlnm._FilterDatabase" localSheetId="1" hidden="1">정비이력!$A$1:$H$8</definedName>
    <definedName name="구분">OFFSET(분류항목!$D$2,1,0,COUNTA(분류항목!$D:$D)-1,1)</definedName>
    <definedName name="사업장명">OFFSET(분류항목!$B$2,1,0,COUNTA(분류항목!$B:$B)-1,1)</definedName>
    <definedName name="연료">OFFSET(분류항목!$F$2,1,0,COUNTA(분류항목!$F:$F)-1,1)</definedName>
    <definedName name="작업구분">OFFSET(분류항목!$H$2,1,0,COUNTA(분류항목!$H:$H)-1,1)</definedName>
    <definedName name="차량번호">OFFSET(법인차량현황!#REF!,1,0,COUNTA(법인차량현황!#REF!)-1,1)</definedName>
    <definedName name="차종">OFFSET(분류항목!$J$2,1,0,COUNTA(분류항목!$J:$J)-1,1)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  <c r="G31" i="4" l="1"/>
  <c r="G37" i="4"/>
  <c r="F37" i="4"/>
  <c r="AG15" i="4"/>
  <c r="H37" i="4" l="1"/>
  <c r="AI19" i="4"/>
  <c r="AF19" i="4"/>
  <c r="AE19" i="4"/>
  <c r="AG17" i="4"/>
  <c r="AG19" i="4" s="1"/>
  <c r="AD17" i="4"/>
  <c r="AD19" i="4" s="1"/>
  <c r="AG13" i="4"/>
  <c r="AH13" i="4"/>
  <c r="AH15" i="4" s="1"/>
  <c r="AH17" i="4" s="1"/>
  <c r="AH19" i="4" s="1"/>
  <c r="AD13" i="4"/>
  <c r="G27" i="4" l="1"/>
  <c r="F27" i="4"/>
  <c r="H27" i="4"/>
  <c r="H22" i="4"/>
  <c r="H23" i="4"/>
  <c r="H24" i="4"/>
  <c r="H25" i="4"/>
  <c r="H26" i="4"/>
  <c r="H21" i="4"/>
</calcChain>
</file>

<file path=xl/sharedStrings.xml><?xml version="1.0" encoding="utf-8"?>
<sst xmlns="http://schemas.openxmlformats.org/spreadsheetml/2006/main" count="340" uniqueCount="238">
  <si>
    <t>차종</t>
  </si>
  <si>
    <t>NO</t>
    <phoneticPr fontId="3" type="noConversion"/>
  </si>
  <si>
    <t>구분</t>
    <phoneticPr fontId="3" type="noConversion"/>
  </si>
  <si>
    <t>자가</t>
    <phoneticPr fontId="3" type="noConversion"/>
  </si>
  <si>
    <t>리스</t>
    <phoneticPr fontId="3" type="noConversion"/>
  </si>
  <si>
    <t>렌트</t>
    <phoneticPr fontId="3" type="noConversion"/>
  </si>
  <si>
    <t>연료</t>
    <phoneticPr fontId="3" type="noConversion"/>
  </si>
  <si>
    <t>휘발유</t>
    <phoneticPr fontId="3" type="noConversion"/>
  </si>
  <si>
    <t>경유</t>
    <phoneticPr fontId="3" type="noConversion"/>
  </si>
  <si>
    <t>하이브리드</t>
    <phoneticPr fontId="3" type="noConversion"/>
  </si>
  <si>
    <t>전기차</t>
    <phoneticPr fontId="3" type="noConversion"/>
  </si>
  <si>
    <t>수소차</t>
    <phoneticPr fontId="3" type="noConversion"/>
  </si>
  <si>
    <t>LPG</t>
    <phoneticPr fontId="3" type="noConversion"/>
  </si>
  <si>
    <t>LNG</t>
    <phoneticPr fontId="3" type="noConversion"/>
  </si>
  <si>
    <t>지입</t>
    <phoneticPr fontId="3" type="noConversion"/>
  </si>
  <si>
    <t>지게차</t>
    <phoneticPr fontId="3" type="noConversion"/>
  </si>
  <si>
    <t>소모품교환</t>
  </si>
  <si>
    <t>사고교체</t>
  </si>
  <si>
    <t>차량인테리어</t>
  </si>
  <si>
    <t>정기검사</t>
  </si>
  <si>
    <t>작업구분</t>
    <phoneticPr fontId="3" type="noConversion"/>
  </si>
  <si>
    <t>차량번호</t>
    <phoneticPr fontId="3" type="noConversion"/>
  </si>
  <si>
    <t>주행거리</t>
    <phoneticPr fontId="3" type="noConversion"/>
  </si>
  <si>
    <t>금액</t>
    <phoneticPr fontId="3" type="noConversion"/>
  </si>
  <si>
    <t>비고</t>
    <phoneticPr fontId="3" type="noConversion"/>
  </si>
  <si>
    <t>부품교환</t>
    <phoneticPr fontId="3" type="noConversion"/>
  </si>
  <si>
    <t>승용</t>
    <phoneticPr fontId="3" type="noConversion"/>
  </si>
  <si>
    <t>화물</t>
    <phoneticPr fontId="3" type="noConversion"/>
  </si>
  <si>
    <t>승합</t>
    <phoneticPr fontId="3" type="noConversion"/>
  </si>
  <si>
    <t>전동차</t>
    <phoneticPr fontId="3" type="noConversion"/>
  </si>
  <si>
    <t>듀링</t>
    <phoneticPr fontId="3" type="noConversion"/>
  </si>
  <si>
    <t>사업장명</t>
    <phoneticPr fontId="3" type="noConversion"/>
  </si>
  <si>
    <t>차종</t>
    <phoneticPr fontId="3" type="noConversion"/>
  </si>
  <si>
    <t>듀링서산공장</t>
    <phoneticPr fontId="3" type="noConversion"/>
  </si>
  <si>
    <t>신한카드</t>
    <phoneticPr fontId="3" type="noConversion"/>
  </si>
  <si>
    <t>JB우리캐피탈</t>
    <phoneticPr fontId="3" type="noConversion"/>
  </si>
  <si>
    <t>251가 2425</t>
    <phoneticPr fontId="3" type="noConversion"/>
  </si>
  <si>
    <t>코나 EV</t>
    <phoneticPr fontId="3" type="noConversion"/>
  </si>
  <si>
    <t>기술연구소</t>
    <phoneticPr fontId="3" type="noConversion"/>
  </si>
  <si>
    <t xml:space="preserve">GV80 </t>
    <phoneticPr fontId="3" type="noConversion"/>
  </si>
  <si>
    <t xml:space="preserve">XC60 </t>
    <phoneticPr fontId="3" type="noConversion"/>
  </si>
  <si>
    <t>쏘나타 하이브리드</t>
    <phoneticPr fontId="3" type="noConversion"/>
  </si>
  <si>
    <t>K5 하이브리드</t>
    <phoneticPr fontId="3" type="noConversion"/>
  </si>
  <si>
    <t>뒷 타이어 교체</t>
    <phoneticPr fontId="3" type="noConversion"/>
  </si>
  <si>
    <t>SM공단1</t>
    <phoneticPr fontId="3" type="noConversion"/>
  </si>
  <si>
    <t>보조배터리 교체</t>
    <phoneticPr fontId="3" type="noConversion"/>
  </si>
  <si>
    <t>서산북부 기아서비스센터</t>
    <phoneticPr fontId="3" type="noConversion"/>
  </si>
  <si>
    <t>38가 6616</t>
    <phoneticPr fontId="3" type="noConversion"/>
  </si>
  <si>
    <t>KB손해보험</t>
    <phoneticPr fontId="3" type="noConversion"/>
  </si>
  <si>
    <t>334부 5977</t>
    <phoneticPr fontId="3" type="noConversion"/>
  </si>
  <si>
    <t>엔진오일, 미션오일, 필터, 타이어 4EA 교체</t>
    <phoneticPr fontId="3" type="noConversion"/>
  </si>
  <si>
    <t>타이어테크 서산점</t>
    <phoneticPr fontId="3" type="noConversion"/>
  </si>
  <si>
    <t>기아오토큐 예천점</t>
    <phoneticPr fontId="3" type="noConversion"/>
  </si>
  <si>
    <t>앞,뒤 타이어 위치 교환</t>
    <phoneticPr fontId="3" type="noConversion"/>
  </si>
  <si>
    <t>앞, 뒤 타이어 교체</t>
    <phoneticPr fontId="3" type="noConversion"/>
  </si>
  <si>
    <t>앞 타이어 교체</t>
    <phoneticPr fontId="3" type="noConversion"/>
  </si>
  <si>
    <t>53두 6353</t>
    <phoneticPr fontId="3" type="noConversion"/>
  </si>
  <si>
    <t>K3</t>
    <phoneticPr fontId="3" type="noConversion"/>
  </si>
  <si>
    <t>아이오닉5</t>
    <phoneticPr fontId="3" type="noConversion"/>
  </si>
  <si>
    <t>서산공장</t>
    <phoneticPr fontId="3" type="noConversion"/>
  </si>
  <si>
    <t>엔진오일 교환</t>
    <phoneticPr fontId="3" type="noConversion"/>
  </si>
  <si>
    <t>블루핸즈 예천점</t>
    <phoneticPr fontId="3" type="noConversion"/>
  </si>
  <si>
    <t>밧데리 교체</t>
    <phoneticPr fontId="3" type="noConversion"/>
  </si>
  <si>
    <t>차량세차</t>
    <phoneticPr fontId="3" type="noConversion"/>
  </si>
  <si>
    <t>232호7318</t>
    <phoneticPr fontId="3" type="noConversion"/>
  </si>
  <si>
    <t>232호7057</t>
    <phoneticPr fontId="3" type="noConversion"/>
  </si>
  <si>
    <t>팰리세이드 하이브리드</t>
    <phoneticPr fontId="3" type="noConversion"/>
  </si>
  <si>
    <t>그랜저 하이브리드</t>
    <phoneticPr fontId="3" type="noConversion"/>
  </si>
  <si>
    <t>구분</t>
    <phoneticPr fontId="3" type="noConversion"/>
  </si>
  <si>
    <t>차량명</t>
    <phoneticPr fontId="3" type="noConversion"/>
  </si>
  <si>
    <t>차량번호</t>
    <phoneticPr fontId="3" type="noConversion"/>
  </si>
  <si>
    <t>배기량(cc)</t>
    <phoneticPr fontId="3" type="noConversion"/>
  </si>
  <si>
    <t>등록일자</t>
    <phoneticPr fontId="3" type="noConversion"/>
  </si>
  <si>
    <t>비고</t>
    <phoneticPr fontId="3" type="noConversion"/>
  </si>
  <si>
    <t>G80</t>
    <phoneticPr fontId="3" type="noConversion"/>
  </si>
  <si>
    <t>코나 EV</t>
    <phoneticPr fontId="3" type="noConversion"/>
  </si>
  <si>
    <t>K5 하이브리드</t>
    <phoneticPr fontId="3" type="noConversion"/>
  </si>
  <si>
    <t>K3</t>
    <phoneticPr fontId="3" type="noConversion"/>
  </si>
  <si>
    <t>08서 2185</t>
    <phoneticPr fontId="3" type="noConversion"/>
  </si>
  <si>
    <t>149너 8593</t>
    <phoneticPr fontId="3" type="noConversion"/>
  </si>
  <si>
    <t>연료</t>
    <phoneticPr fontId="3" type="noConversion"/>
  </si>
  <si>
    <t>휘발유</t>
    <phoneticPr fontId="3" type="noConversion"/>
  </si>
  <si>
    <t>전기차</t>
    <phoneticPr fontId="3" type="noConversion"/>
  </si>
  <si>
    <t>전기차</t>
    <phoneticPr fontId="3" type="noConversion"/>
  </si>
  <si>
    <t>하이브리드</t>
    <phoneticPr fontId="3" type="noConversion"/>
  </si>
  <si>
    <t>NO</t>
    <phoneticPr fontId="3" type="noConversion"/>
  </si>
  <si>
    <t>지방교육세</t>
    <phoneticPr fontId="3" type="noConversion"/>
  </si>
  <si>
    <t>자동차세</t>
    <phoneticPr fontId="3" type="noConversion"/>
  </si>
  <si>
    <t>합 계</t>
    <phoneticPr fontId="3" type="noConversion"/>
  </si>
  <si>
    <t>합 계</t>
    <phoneticPr fontId="3" type="noConversion"/>
  </si>
  <si>
    <t>구분</t>
    <phoneticPr fontId="3" type="noConversion"/>
  </si>
  <si>
    <t>비영업용</t>
    <phoneticPr fontId="3" type="noConversion"/>
  </si>
  <si>
    <t>배기량</t>
    <phoneticPr fontId="3" type="noConversion"/>
  </si>
  <si>
    <t>1,000CC 이하</t>
    <phoneticPr fontId="3" type="noConversion"/>
  </si>
  <si>
    <t>1,600CC 이하</t>
    <phoneticPr fontId="3" type="noConversion"/>
  </si>
  <si>
    <t>1,600CC 초과</t>
    <phoneticPr fontId="3" type="noConversion"/>
  </si>
  <si>
    <t>기타(친환경차)</t>
    <phoneticPr fontId="3" type="noConversion"/>
  </si>
  <si>
    <t xml:space="preserve">내용 </t>
    <phoneticPr fontId="3" type="noConversion"/>
  </si>
  <si>
    <t>80원</t>
    <phoneticPr fontId="3" type="noConversion"/>
  </si>
  <si>
    <t>140원</t>
    <phoneticPr fontId="3" type="noConversion"/>
  </si>
  <si>
    <t>200원</t>
    <phoneticPr fontId="3" type="noConversion"/>
  </si>
  <si>
    <t>10만원</t>
    <phoneticPr fontId="3" type="noConversion"/>
  </si>
  <si>
    <t>차량</t>
    <phoneticPr fontId="3" type="noConversion"/>
  </si>
  <si>
    <t>경감률</t>
    <phoneticPr fontId="3" type="noConversion"/>
  </si>
  <si>
    <t>3년</t>
    <phoneticPr fontId="3" type="noConversion"/>
  </si>
  <si>
    <t>4년</t>
    <phoneticPr fontId="3" type="noConversion"/>
  </si>
  <si>
    <t>5년</t>
    <phoneticPr fontId="3" type="noConversion"/>
  </si>
  <si>
    <t>6년</t>
    <phoneticPr fontId="3" type="noConversion"/>
  </si>
  <si>
    <t>7년</t>
    <phoneticPr fontId="3" type="noConversion"/>
  </si>
  <si>
    <t>8년</t>
    <phoneticPr fontId="3" type="noConversion"/>
  </si>
  <si>
    <t>9년</t>
    <phoneticPr fontId="3" type="noConversion"/>
  </si>
  <si>
    <t>10년</t>
    <phoneticPr fontId="3" type="noConversion"/>
  </si>
  <si>
    <t>11년</t>
    <phoneticPr fontId="3" type="noConversion"/>
  </si>
  <si>
    <t>12년~</t>
    <phoneticPr fontId="3" type="noConversion"/>
  </si>
  <si>
    <t>NO</t>
    <phoneticPr fontId="3" type="noConversion"/>
  </si>
  <si>
    <t>cc당 세액</t>
    <phoneticPr fontId="3" type="noConversion"/>
  </si>
  <si>
    <t>과세표준(a*b)</t>
    <phoneticPr fontId="3" type="noConversion"/>
  </si>
  <si>
    <t>세율</t>
    <phoneticPr fontId="3" type="noConversion"/>
  </si>
  <si>
    <t>자동차세액(c*d)</t>
    <phoneticPr fontId="3" type="noConversion"/>
  </si>
  <si>
    <t>K5 하이브리드</t>
    <phoneticPr fontId="3" type="noConversion"/>
  </si>
  <si>
    <t>지방교육세 세율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</si>
  <si>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</si>
  <si>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</si>
  <si>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</si>
  <si>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</si>
  <si>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가</t>
    <phoneticPr fontId="3" type="noConversion"/>
  </si>
  <si>
    <t>나</t>
    <phoneticPr fontId="3" type="noConversion"/>
  </si>
  <si>
    <t>다</t>
    <phoneticPr fontId="3" type="noConversion"/>
  </si>
  <si>
    <t>라</t>
    <phoneticPr fontId="3" type="noConversion"/>
  </si>
  <si>
    <t>마</t>
    <phoneticPr fontId="3" type="noConversion"/>
  </si>
  <si>
    <t>지방교육세(가*나)</t>
    <phoneticPr fontId="3" type="noConversion"/>
  </si>
  <si>
    <t>합 계(가+다-라)</t>
    <phoneticPr fontId="3" type="noConversion"/>
  </si>
  <si>
    <t>연납 공제세액</t>
    <phoneticPr fontId="3" type="noConversion"/>
  </si>
  <si>
    <t>증감액</t>
    <phoneticPr fontId="3" type="noConversion"/>
  </si>
  <si>
    <t>증감률</t>
    <phoneticPr fontId="3" type="noConversion"/>
  </si>
  <si>
    <t>▲48,970</t>
    <phoneticPr fontId="3" type="noConversion"/>
  </si>
  <si>
    <t>▲65.2%</t>
    <phoneticPr fontId="3" type="noConversion"/>
  </si>
  <si>
    <t>▲2.5%</t>
    <phoneticPr fontId="3" type="noConversion"/>
  </si>
  <si>
    <t>▼24,800</t>
    <phoneticPr fontId="3" type="noConversion"/>
  </si>
  <si>
    <t>▼5.9%</t>
    <phoneticPr fontId="3" type="noConversion"/>
  </si>
  <si>
    <t>▼13,820</t>
    <phoneticPr fontId="3" type="noConversion"/>
  </si>
  <si>
    <t>▼7.4%</t>
    <phoneticPr fontId="3" type="noConversion"/>
  </si>
  <si>
    <t>▲12.5%</t>
    <phoneticPr fontId="3" type="noConversion"/>
  </si>
  <si>
    <t>▲3,030</t>
    <phoneticPr fontId="3" type="noConversion"/>
  </si>
  <si>
    <t>▲359,030</t>
    <phoneticPr fontId="3" type="noConversion"/>
  </si>
  <si>
    <t>▲24.3%</t>
    <phoneticPr fontId="3" type="noConversion"/>
  </si>
  <si>
    <t>25년 2월 구입</t>
    <phoneticPr fontId="3" type="noConversion"/>
  </si>
  <si>
    <t>25년 5월 구입</t>
    <phoneticPr fontId="3" type="noConversion"/>
  </si>
  <si>
    <t>25년 1월 구입</t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</si>
  <si>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▲</t>
    </r>
    <r>
      <rPr>
        <sz val="11"/>
        <color theme="1"/>
        <rFont val="맑은 고딕"/>
        <family val="2"/>
        <charset val="129"/>
        <scheme val="minor"/>
      </rPr>
      <t>69,020</t>
    </r>
    <phoneticPr fontId="3" type="noConversion"/>
  </si>
  <si>
    <t>차량ID</t>
    <phoneticPr fontId="3" type="noConversion"/>
  </si>
  <si>
    <t>DR-CAR-01</t>
    <phoneticPr fontId="3" type="noConversion"/>
  </si>
  <si>
    <t>DR-CAR-02</t>
  </si>
  <si>
    <t>DR-CAR-03</t>
  </si>
  <si>
    <t>DR-CAR-04</t>
  </si>
  <si>
    <t>DR-CAR-05</t>
  </si>
  <si>
    <t>DR-CAR-06</t>
  </si>
  <si>
    <t>DR-CAR-07</t>
  </si>
  <si>
    <t>DR-CAR-08</t>
  </si>
  <si>
    <t>DR-CAR-09</t>
  </si>
  <si>
    <t>DR-CAR-10</t>
  </si>
  <si>
    <t>DR-CAR-11</t>
  </si>
  <si>
    <t>DR-CAR-12</t>
  </si>
  <si>
    <t>차량구분</t>
    <phoneticPr fontId="3" type="noConversion"/>
  </si>
  <si>
    <t>운용사업장</t>
    <phoneticPr fontId="3" type="noConversion"/>
  </si>
  <si>
    <t>기술연구소</t>
    <phoneticPr fontId="3" type="noConversion"/>
  </si>
  <si>
    <t>사용자</t>
    <phoneticPr fontId="3" type="noConversion"/>
  </si>
  <si>
    <t>고진성</t>
    <phoneticPr fontId="3" type="noConversion"/>
  </si>
  <si>
    <t>임병주</t>
    <phoneticPr fontId="3" type="noConversion"/>
  </si>
  <si>
    <t>고주형</t>
    <phoneticPr fontId="3" type="noConversion"/>
  </si>
  <si>
    <t>강성원</t>
    <phoneticPr fontId="3" type="noConversion"/>
  </si>
  <si>
    <t>강성민</t>
    <phoneticPr fontId="3" type="noConversion"/>
  </si>
  <si>
    <t>신현철</t>
    <phoneticPr fontId="3" type="noConversion"/>
  </si>
  <si>
    <t>설진한</t>
    <phoneticPr fontId="3" type="noConversion"/>
  </si>
  <si>
    <t>기술연구소 공용</t>
    <phoneticPr fontId="3" type="noConversion"/>
  </si>
  <si>
    <t>서산공장 공용</t>
    <phoneticPr fontId="3" type="noConversion"/>
  </si>
  <si>
    <t>보험만료일</t>
    <phoneticPr fontId="3" type="noConversion"/>
  </si>
  <si>
    <t>검사만료일</t>
    <phoneticPr fontId="3" type="noConversion"/>
  </si>
  <si>
    <t>보험사</t>
    <phoneticPr fontId="3" type="noConversion"/>
  </si>
  <si>
    <t>iM캐피탈</t>
    <phoneticPr fontId="3" type="noConversion"/>
  </si>
  <si>
    <t>보험사연락처</t>
    <phoneticPr fontId="3" type="noConversion"/>
  </si>
  <si>
    <t>계약종료일</t>
    <phoneticPr fontId="3" type="noConversion"/>
  </si>
  <si>
    <t>월 렌트료</t>
    <phoneticPr fontId="3" type="noConversion"/>
  </si>
  <si>
    <t>렌트</t>
    <phoneticPr fontId="3" type="noConversion"/>
  </si>
  <si>
    <t>자가</t>
    <phoneticPr fontId="3" type="noConversion"/>
  </si>
  <si>
    <t>렌트</t>
    <phoneticPr fontId="3" type="noConversion"/>
  </si>
  <si>
    <t>삼성화재</t>
    <phoneticPr fontId="3" type="noConversion"/>
  </si>
  <si>
    <t>1544-7100</t>
    <phoneticPr fontId="3" type="noConversion"/>
  </si>
  <si>
    <t>1666-8800</t>
    <phoneticPr fontId="3" type="noConversion"/>
  </si>
  <si>
    <t>1666-8800</t>
    <phoneticPr fontId="3" type="noConversion"/>
  </si>
  <si>
    <t>1666-8800</t>
    <phoneticPr fontId="3" type="noConversion"/>
  </si>
  <si>
    <t>1544-0114</t>
    <phoneticPr fontId="3" type="noConversion"/>
  </si>
  <si>
    <t>1588-5114</t>
    <phoneticPr fontId="3" type="noConversion"/>
  </si>
  <si>
    <t>1577-0565</t>
    <phoneticPr fontId="3" type="noConversion"/>
  </si>
  <si>
    <t>1577-0565</t>
    <phoneticPr fontId="3" type="noConversion"/>
  </si>
  <si>
    <t>정비일자</t>
    <phoneticPr fontId="3" type="noConversion"/>
  </si>
  <si>
    <t>정비내용</t>
    <phoneticPr fontId="3" type="noConversion"/>
  </si>
  <si>
    <t>정비업체</t>
    <phoneticPr fontId="3" type="noConversion"/>
  </si>
  <si>
    <t>176하8989</t>
    <phoneticPr fontId="3" type="noConversion"/>
  </si>
  <si>
    <t>174호6577</t>
    <phoneticPr fontId="3" type="noConversion"/>
  </si>
  <si>
    <t>174호6750</t>
    <phoneticPr fontId="3" type="noConversion"/>
  </si>
  <si>
    <t>174호8501</t>
    <phoneticPr fontId="3" type="noConversion"/>
  </si>
  <si>
    <t>174호6701</t>
    <phoneticPr fontId="3" type="noConversion"/>
  </si>
  <si>
    <t>08서2185</t>
    <phoneticPr fontId="3" type="noConversion"/>
  </si>
  <si>
    <t>38가6616</t>
    <phoneticPr fontId="3" type="noConversion"/>
  </si>
  <si>
    <t>149너8593</t>
    <phoneticPr fontId="3" type="noConversion"/>
  </si>
  <si>
    <t>334부5977</t>
    <phoneticPr fontId="3" type="noConversion"/>
  </si>
  <si>
    <t>53두6353</t>
    <phoneticPr fontId="3" type="noConversion"/>
  </si>
  <si>
    <t>334부5977</t>
    <phoneticPr fontId="3" type="noConversion"/>
  </si>
  <si>
    <t>149너8593</t>
    <phoneticPr fontId="3" type="noConversion"/>
  </si>
  <si>
    <t>08서2185</t>
    <phoneticPr fontId="3" type="noConversion"/>
  </si>
  <si>
    <t>174호6701</t>
    <phoneticPr fontId="3" type="noConversion"/>
  </si>
  <si>
    <t>149너8593</t>
    <phoneticPr fontId="3" type="noConversion"/>
  </si>
  <si>
    <t>174호6701</t>
    <phoneticPr fontId="3" type="noConversion"/>
  </si>
  <si>
    <t>38가6616</t>
    <phoneticPr fontId="3" type="noConversion"/>
  </si>
  <si>
    <t>174호6701</t>
    <phoneticPr fontId="3" type="noConversion"/>
  </si>
  <si>
    <t>174호6577</t>
    <phoneticPr fontId="3" type="noConversion"/>
  </si>
  <si>
    <t>DR-CAR-09</t>
    <phoneticPr fontId="3" type="noConversion"/>
  </si>
  <si>
    <t>차량ID</t>
    <phoneticPr fontId="3" type="noConversion"/>
  </si>
  <si>
    <t>DR-CAR-08</t>
    <phoneticPr fontId="3" type="noConversion"/>
  </si>
  <si>
    <t>DR-CAR-06</t>
    <phoneticPr fontId="3" type="noConversion"/>
  </si>
  <si>
    <t>DR-CAR-05</t>
    <phoneticPr fontId="3" type="noConversion"/>
  </si>
  <si>
    <t>DR-CAR-07</t>
    <phoneticPr fontId="3" type="noConversion"/>
  </si>
  <si>
    <t>DR-CAR-02</t>
    <phoneticPr fontId="3" type="noConversion"/>
  </si>
  <si>
    <t>DR-CAR-13</t>
  </si>
  <si>
    <t>205호1668</t>
    <phoneticPr fontId="3" type="noConversion"/>
  </si>
  <si>
    <t>소나타 하이브리드</t>
    <phoneticPr fontId="3" type="noConversion"/>
  </si>
  <si>
    <t>렌트</t>
    <phoneticPr fontId="3" type="noConversion"/>
  </si>
  <si>
    <t>이승민</t>
    <phoneticPr fontId="3" type="noConversion"/>
  </si>
  <si>
    <t>기술연구소</t>
    <phoneticPr fontId="3" type="noConversion"/>
  </si>
  <si>
    <t>우리금융캐피탈</t>
    <phoneticPr fontId="3" type="noConversion"/>
  </si>
  <si>
    <t>1544-8600</t>
    <phoneticPr fontId="3" type="noConversion"/>
  </si>
  <si>
    <t>뒷 타이어 교체</t>
    <phoneticPr fontId="3" type="noConversion"/>
  </si>
  <si>
    <t>타이어테크 신서산온석점</t>
    <phoneticPr fontId="3" type="noConversion"/>
  </si>
  <si>
    <t>현대해상</t>
    <phoneticPr fontId="3" type="noConversion"/>
  </si>
  <si>
    <t>1588-5656</t>
    <phoneticPr fontId="3" type="noConversion"/>
  </si>
  <si>
    <t>엔진오일, 타이어 4EA 교체</t>
    <phoneticPr fontId="3" type="noConversion"/>
  </si>
  <si>
    <t>에이치에스 모터스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</si>
</sst>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&quot; 원&quot;"/>
    <numFmt numFmtId="177" formatCode="#,##0\ &quot;km&quot;"/>
    <numFmt numFmtId="178" formatCode="#,##0_);[Red]\(#,##0\)"/>
    <numFmt numFmtId="179" formatCode="#,##0_ 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41" fontId="0" fillId="0" borderId="2" xfId="1" applyFont="1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0" xfId="1" applyFont="1">
      <alignment vertical="center"/>
    </xf>
    <xf numFmtId="177" fontId="0" fillId="0" borderId="1" xfId="0" applyNumberFormat="1" applyBorder="1">
      <alignment vertical="center"/>
    </xf>
    <xf numFmtId="177" fontId="0" fillId="0" borderId="2" xfId="0" applyNumberForma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4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41" fontId="7" fillId="0" borderId="1" xfId="1" applyFont="1" applyBorder="1">
      <alignment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>
      <alignment vertical="center"/>
    </xf>
    <xf numFmtId="14" fontId="7" fillId="0" borderId="5" xfId="0" applyNumberFormat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0" xfId="0" applyBorder="1" applyAlignment="1">
      <alignment horizontal="center" vertical="center"/>
    </xf>
    <xf numFmtId="41" fontId="0" fillId="0" borderId="0" xfId="1" applyFont="1" applyBorder="1">
      <alignment vertical="center"/>
    </xf>
    <xf numFmtId="41" fontId="0" fillId="0" borderId="0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1" fontId="0" fillId="0" borderId="13" xfId="1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41" fontId="0" fillId="0" borderId="0" xfId="1" applyFont="1" applyBorder="1" applyAlignment="1">
      <alignment vertical="center"/>
    </xf>
    <xf numFmtId="14" fontId="0" fillId="0" borderId="11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41" fontId="0" fillId="0" borderId="13" xfId="1" applyFont="1" applyBorder="1" applyAlignment="1">
      <alignment vertical="center"/>
    </xf>
    <xf numFmtId="14" fontId="0" fillId="0" borderId="14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41" fontId="0" fillId="0" borderId="11" xfId="1" applyFont="1" applyBorder="1">
      <alignment vertical="center"/>
    </xf>
    <xf numFmtId="41" fontId="0" fillId="0" borderId="11" xfId="1" applyFont="1" applyBorder="1" applyAlignment="1">
      <alignment vertical="center"/>
    </xf>
    <xf numFmtId="41" fontId="4" fillId="0" borderId="6" xfId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0" xfId="0" applyFill="1" applyAlignment="1">
      <alignment horizontal="center" vertical="center"/>
    </xf>
    <xf numFmtId="9" fontId="0" fillId="0" borderId="13" xfId="0" applyNumberFormat="1" applyBorder="1">
      <alignment vertical="center"/>
    </xf>
    <xf numFmtId="9" fontId="0" fillId="0" borderId="14" xfId="0" applyNumberFormat="1" applyBorder="1">
      <alignment vertical="center"/>
    </xf>
    <xf numFmtId="3" fontId="0" fillId="0" borderId="0" xfId="0" applyNumberFormat="1">
      <alignment vertical="center"/>
    </xf>
    <xf numFmtId="0" fontId="9" fillId="0" borderId="8" xfId="0" applyFont="1" applyBorder="1">
      <alignment vertical="center"/>
    </xf>
    <xf numFmtId="9" fontId="0" fillId="0" borderId="0" xfId="0" applyNumberFormat="1">
      <alignment vertical="center"/>
    </xf>
    <xf numFmtId="9" fontId="0" fillId="0" borderId="11" xfId="0" applyNumberFormat="1" applyBorder="1">
      <alignment vertical="center"/>
    </xf>
    <xf numFmtId="178" fontId="0" fillId="0" borderId="0" xfId="0" applyNumberFormat="1">
      <alignment vertical="center"/>
    </xf>
    <xf numFmtId="178" fontId="0" fillId="0" borderId="11" xfId="0" applyNumberFormat="1" applyBorder="1">
      <alignment vertical="center"/>
    </xf>
    <xf numFmtId="41" fontId="0" fillId="0" borderId="0" xfId="0" applyNumberFormat="1">
      <alignment vertical="center"/>
    </xf>
    <xf numFmtId="178" fontId="2" fillId="0" borderId="0" xfId="0" applyNumberFormat="1" applyFont="1">
      <alignment vertical="center"/>
    </xf>
    <xf numFmtId="178" fontId="2" fillId="0" borderId="11" xfId="0" applyNumberFormat="1" applyFont="1" applyBorder="1">
      <alignment vertical="center"/>
    </xf>
    <xf numFmtId="179" fontId="0" fillId="0" borderId="0" xfId="0" applyNumberFormat="1">
      <alignment vertical="center"/>
    </xf>
    <xf numFmtId="41" fontId="4" fillId="0" borderId="0" xfId="0" applyNumberFormat="1" applyFont="1">
      <alignment vertical="center"/>
    </xf>
    <xf numFmtId="41" fontId="4" fillId="0" borderId="14" xfId="0" applyNumberFormat="1" applyFont="1" applyBorder="1">
      <alignment vertical="center"/>
    </xf>
    <xf numFmtId="0" fontId="0" fillId="5" borderId="0" xfId="0" applyFill="1">
      <alignment vertical="center"/>
    </xf>
    <xf numFmtId="14" fontId="0" fillId="0" borderId="0" xfId="0" applyNumberFormat="1">
      <alignment vertical="center"/>
    </xf>
    <xf numFmtId="41" fontId="4" fillId="0" borderId="0" xfId="1" applyFont="1" applyBorder="1" applyAlignment="1">
      <alignment vertical="center"/>
    </xf>
    <xf numFmtId="41" fontId="6" fillId="0" borderId="13" xfId="1" applyFont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41" fontId="6" fillId="0" borderId="0" xfId="1" applyFont="1" applyBorder="1" applyAlignment="1">
      <alignment horizontal="center" vertical="center"/>
    </xf>
    <xf numFmtId="14" fontId="7" fillId="0" borderId="5" xfId="0" applyNumberFormat="1" applyFont="1" applyBorder="1">
      <alignment vertical="center"/>
    </xf>
    <xf numFmtId="179" fontId="7" fillId="0" borderId="1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0" fontId="7" fillId="0" borderId="17" xfId="0" applyFont="1" applyBorder="1">
      <alignment vertical="center"/>
    </xf>
    <xf numFmtId="176" fontId="7" fillId="0" borderId="4" xfId="0" applyNumberFormat="1" applyFont="1" applyBorder="1">
      <alignment vertical="center"/>
    </xf>
    <xf numFmtId="176" fontId="7" fillId="0" borderId="5" xfId="0" applyNumberFormat="1" applyFont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6"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17"/>
  <sheetViews>
    <sheetView zoomScale="85" zoomScaleNormal="85" workbookViewId="0">
      <pane xSplit="4" ySplit="1" topLeftCell="E2" activePane="bottomRight" state="frozen"/>
      <selection pane="topRight" activeCell="I1" sqref="I1"/>
      <selection pane="bottomLeft" activeCell="A5" sqref="A5"/>
      <selection pane="bottomRight" activeCell="H20" sqref="H20"/>
    </sheetView>
  </sheetViews>
  <sheetFormatPr defaultRowHeight="17.399999999999999" x14ac:dyDescent="0.4"/>
  <cols>
    <col min="1" max="1" width="5.69921875" customWidth="1"/>
    <col min="2" max="2" width="11.59765625" bestFit="1" customWidth="1"/>
    <col min="3" max="3" width="11.69921875" bestFit="1" customWidth="1"/>
    <col min="4" max="4" width="22.19921875" bestFit="1" customWidth="1"/>
    <col min="5" max="5" width="9.19921875" bestFit="1" customWidth="1"/>
    <col min="6" max="6" width="13.8984375" bestFit="1" customWidth="1"/>
    <col min="7" max="7" width="16" style="1" bestFit="1" customWidth="1"/>
    <col min="8" max="8" width="13.69921875" customWidth="1"/>
    <col min="9" max="9" width="13.19921875" bestFit="1" customWidth="1"/>
    <col min="10" max="10" width="11.8984375" bestFit="1" customWidth="1"/>
    <col min="11" max="11" width="11" style="1" customWidth="1"/>
    <col min="12" max="12" width="12.59765625" customWidth="1"/>
    <col min="13" max="13" width="12.796875" bestFit="1" customWidth="1"/>
    <col min="15" max="15" width="12.59765625" bestFit="1" customWidth="1"/>
  </cols>
  <sheetData>
    <row r="1" spans="1:15" ht="33" customHeight="1" thickBot="1" x14ac:dyDescent="0.45">
      <c r="A1" s="20" t="s">
        <v>1</v>
      </c>
      <c r="B1" s="21" t="s">
        <v>150</v>
      </c>
      <c r="C1" s="20" t="s">
        <v>21</v>
      </c>
      <c r="D1" s="20" t="s">
        <v>0</v>
      </c>
      <c r="E1" s="20" t="s">
        <v>163</v>
      </c>
      <c r="F1" s="21" t="s">
        <v>164</v>
      </c>
      <c r="G1" s="20" t="s">
        <v>166</v>
      </c>
      <c r="H1" s="21" t="s">
        <v>178</v>
      </c>
      <c r="I1" s="21" t="s">
        <v>180</v>
      </c>
      <c r="J1" s="20" t="s">
        <v>176</v>
      </c>
      <c r="K1" s="21" t="s">
        <v>177</v>
      </c>
      <c r="L1" s="21" t="s">
        <v>181</v>
      </c>
      <c r="M1" s="21" t="s">
        <v>182</v>
      </c>
      <c r="N1" s="2"/>
      <c r="O1" s="2"/>
    </row>
    <row r="2" spans="1:15" x14ac:dyDescent="0.4">
      <c r="A2" s="14">
        <f>ROW()-1</f>
        <v>1</v>
      </c>
      <c r="B2" s="23" t="s">
        <v>151</v>
      </c>
      <c r="C2" s="23" t="s">
        <v>198</v>
      </c>
      <c r="D2" s="23" t="s">
        <v>40</v>
      </c>
      <c r="E2" s="23" t="s">
        <v>5</v>
      </c>
      <c r="F2" s="19" t="s">
        <v>165</v>
      </c>
      <c r="G2" s="22" t="s">
        <v>167</v>
      </c>
      <c r="H2" s="22" t="s">
        <v>34</v>
      </c>
      <c r="I2" s="23" t="s">
        <v>187</v>
      </c>
      <c r="J2" s="25">
        <v>46836</v>
      </c>
      <c r="K2" s="24">
        <v>46476</v>
      </c>
      <c r="L2" s="25">
        <v>46836</v>
      </c>
      <c r="M2" s="89">
        <v>1957670</v>
      </c>
      <c r="O2" s="15"/>
    </row>
    <row r="3" spans="1:15" x14ac:dyDescent="0.4">
      <c r="A3" s="14">
        <f t="shared" ref="A3:A17" si="0">ROW()-1</f>
        <v>2</v>
      </c>
      <c r="B3" s="23" t="s">
        <v>152</v>
      </c>
      <c r="C3" s="18" t="s">
        <v>199</v>
      </c>
      <c r="D3" s="18" t="s">
        <v>39</v>
      </c>
      <c r="E3" s="23" t="s">
        <v>183</v>
      </c>
      <c r="F3" s="19" t="s">
        <v>59</v>
      </c>
      <c r="G3" s="22" t="s">
        <v>169</v>
      </c>
      <c r="H3" s="22" t="s">
        <v>35</v>
      </c>
      <c r="I3" s="23" t="s">
        <v>188</v>
      </c>
      <c r="J3" s="29">
        <v>46408</v>
      </c>
      <c r="K3" s="28">
        <v>46405</v>
      </c>
      <c r="L3" s="29">
        <v>46408</v>
      </c>
      <c r="M3" s="30">
        <v>1921400</v>
      </c>
      <c r="O3" s="15"/>
    </row>
    <row r="4" spans="1:15" x14ac:dyDescent="0.4">
      <c r="A4" s="14">
        <f t="shared" si="0"/>
        <v>3</v>
      </c>
      <c r="B4" s="23" t="s">
        <v>153</v>
      </c>
      <c r="C4" s="18" t="s">
        <v>200</v>
      </c>
      <c r="D4" s="19" t="s">
        <v>41</v>
      </c>
      <c r="E4" s="19" t="s">
        <v>183</v>
      </c>
      <c r="F4" s="19" t="s">
        <v>59</v>
      </c>
      <c r="G4" s="26" t="s">
        <v>168</v>
      </c>
      <c r="H4" s="22" t="s">
        <v>35</v>
      </c>
      <c r="I4" s="23" t="s">
        <v>189</v>
      </c>
      <c r="J4" s="29">
        <v>46520</v>
      </c>
      <c r="K4" s="28">
        <v>46151</v>
      </c>
      <c r="L4" s="29">
        <v>46520</v>
      </c>
      <c r="M4" s="30">
        <v>838100</v>
      </c>
      <c r="O4" s="15"/>
    </row>
    <row r="5" spans="1:15" x14ac:dyDescent="0.4">
      <c r="A5" s="14">
        <f t="shared" si="0"/>
        <v>4</v>
      </c>
      <c r="B5" s="23" t="s">
        <v>154</v>
      </c>
      <c r="C5" s="18" t="s">
        <v>201</v>
      </c>
      <c r="D5" s="19" t="s">
        <v>42</v>
      </c>
      <c r="E5" s="19" t="s">
        <v>5</v>
      </c>
      <c r="F5" s="19" t="s">
        <v>38</v>
      </c>
      <c r="G5" s="26" t="s">
        <v>170</v>
      </c>
      <c r="H5" s="26" t="s">
        <v>34</v>
      </c>
      <c r="I5" s="23" t="s">
        <v>187</v>
      </c>
      <c r="J5" s="29">
        <v>46474</v>
      </c>
      <c r="K5" s="28">
        <v>46474</v>
      </c>
      <c r="L5" s="29">
        <v>46474</v>
      </c>
      <c r="M5" s="30">
        <v>928070</v>
      </c>
      <c r="O5" s="15"/>
    </row>
    <row r="6" spans="1:15" x14ac:dyDescent="0.4">
      <c r="A6" s="14">
        <f t="shared" si="0"/>
        <v>5</v>
      </c>
      <c r="B6" s="23" t="s">
        <v>155</v>
      </c>
      <c r="C6" s="18" t="s">
        <v>202</v>
      </c>
      <c r="D6" s="19" t="s">
        <v>42</v>
      </c>
      <c r="E6" s="19" t="s">
        <v>5</v>
      </c>
      <c r="F6" s="19" t="s">
        <v>59</v>
      </c>
      <c r="G6" s="26" t="s">
        <v>171</v>
      </c>
      <c r="H6" s="22" t="s">
        <v>35</v>
      </c>
      <c r="I6" s="23" t="s">
        <v>190</v>
      </c>
      <c r="J6" s="29">
        <v>46491</v>
      </c>
      <c r="K6" s="28">
        <v>46488</v>
      </c>
      <c r="L6" s="29">
        <v>46491</v>
      </c>
      <c r="M6" s="30">
        <v>835100</v>
      </c>
      <c r="O6" s="15"/>
    </row>
    <row r="7" spans="1:15" x14ac:dyDescent="0.4">
      <c r="A7" s="14">
        <f t="shared" si="0"/>
        <v>6</v>
      </c>
      <c r="B7" s="23" t="s">
        <v>156</v>
      </c>
      <c r="C7" s="18" t="s">
        <v>203</v>
      </c>
      <c r="D7" s="19" t="s">
        <v>37</v>
      </c>
      <c r="E7" s="19" t="s">
        <v>3</v>
      </c>
      <c r="F7" s="19" t="s">
        <v>38</v>
      </c>
      <c r="G7" s="26" t="s">
        <v>174</v>
      </c>
      <c r="H7" s="26" t="s">
        <v>48</v>
      </c>
      <c r="I7" s="23" t="s">
        <v>191</v>
      </c>
      <c r="J7" s="29">
        <v>46403</v>
      </c>
      <c r="K7" s="28">
        <v>46648</v>
      </c>
      <c r="L7" s="29"/>
      <c r="M7" s="30"/>
      <c r="O7" s="15"/>
    </row>
    <row r="8" spans="1:15" x14ac:dyDescent="0.4">
      <c r="A8" s="14">
        <f t="shared" si="0"/>
        <v>7</v>
      </c>
      <c r="B8" s="23" t="s">
        <v>157</v>
      </c>
      <c r="C8" s="18" t="s">
        <v>204</v>
      </c>
      <c r="D8" s="19" t="s">
        <v>37</v>
      </c>
      <c r="E8" s="19" t="s">
        <v>3</v>
      </c>
      <c r="F8" s="19" t="s">
        <v>38</v>
      </c>
      <c r="G8" s="26" t="s">
        <v>174</v>
      </c>
      <c r="H8" s="26" t="s">
        <v>48</v>
      </c>
      <c r="I8" s="23" t="s">
        <v>191</v>
      </c>
      <c r="J8" s="29">
        <v>46403</v>
      </c>
      <c r="K8" s="28">
        <v>46645</v>
      </c>
      <c r="M8" s="29"/>
      <c r="O8" s="15"/>
    </row>
    <row r="9" spans="1:15" x14ac:dyDescent="0.4">
      <c r="A9" s="14">
        <f t="shared" si="0"/>
        <v>8</v>
      </c>
      <c r="B9" s="23" t="s">
        <v>158</v>
      </c>
      <c r="C9" s="18" t="s">
        <v>205</v>
      </c>
      <c r="D9" s="19" t="s">
        <v>42</v>
      </c>
      <c r="E9" s="19" t="s">
        <v>3</v>
      </c>
      <c r="F9" s="19" t="s">
        <v>38</v>
      </c>
      <c r="G9" s="26" t="s">
        <v>174</v>
      </c>
      <c r="H9" s="26" t="s">
        <v>48</v>
      </c>
      <c r="I9" s="23" t="s">
        <v>191</v>
      </c>
      <c r="J9" s="29">
        <v>46403</v>
      </c>
      <c r="K9" s="28">
        <v>46531</v>
      </c>
      <c r="L9" s="29"/>
      <c r="M9" s="30"/>
      <c r="O9" s="15"/>
    </row>
    <row r="10" spans="1:15" x14ac:dyDescent="0.4">
      <c r="A10" s="14">
        <f t="shared" si="0"/>
        <v>9</v>
      </c>
      <c r="B10" s="23" t="s">
        <v>159</v>
      </c>
      <c r="C10" s="18" t="s">
        <v>206</v>
      </c>
      <c r="D10" s="18" t="s">
        <v>57</v>
      </c>
      <c r="E10" s="19" t="s">
        <v>3</v>
      </c>
      <c r="F10" s="19" t="s">
        <v>38</v>
      </c>
      <c r="G10" s="26" t="s">
        <v>174</v>
      </c>
      <c r="H10" s="26" t="s">
        <v>186</v>
      </c>
      <c r="I10" s="18" t="s">
        <v>192</v>
      </c>
      <c r="J10" s="29">
        <v>46408</v>
      </c>
      <c r="K10" s="28">
        <v>46338</v>
      </c>
      <c r="L10" s="29"/>
      <c r="M10" s="30"/>
      <c r="O10" s="15"/>
    </row>
    <row r="11" spans="1:15" x14ac:dyDescent="0.4">
      <c r="A11" s="14">
        <f t="shared" si="0"/>
        <v>10</v>
      </c>
      <c r="B11" s="23" t="s">
        <v>160</v>
      </c>
      <c r="C11" s="35" t="s">
        <v>207</v>
      </c>
      <c r="D11" s="35" t="s">
        <v>58</v>
      </c>
      <c r="E11" s="19" t="s">
        <v>184</v>
      </c>
      <c r="F11" s="19" t="s">
        <v>59</v>
      </c>
      <c r="G11" s="31" t="s">
        <v>175</v>
      </c>
      <c r="H11" s="26" t="s">
        <v>234</v>
      </c>
      <c r="I11" s="23" t="s">
        <v>235</v>
      </c>
      <c r="J11" s="85">
        <v>46210</v>
      </c>
      <c r="K11" s="36">
        <v>46554</v>
      </c>
      <c r="L11" s="85"/>
      <c r="M11" s="90"/>
      <c r="O11" s="15"/>
    </row>
    <row r="12" spans="1:15" x14ac:dyDescent="0.4">
      <c r="A12" s="14">
        <f t="shared" si="0"/>
        <v>11</v>
      </c>
      <c r="B12" s="23" t="s">
        <v>161</v>
      </c>
      <c r="C12" s="23" t="s">
        <v>65</v>
      </c>
      <c r="D12" s="23" t="s">
        <v>67</v>
      </c>
      <c r="E12" s="19" t="s">
        <v>5</v>
      </c>
      <c r="F12" s="19" t="s">
        <v>59</v>
      </c>
      <c r="G12" s="22" t="s">
        <v>172</v>
      </c>
      <c r="H12" s="26" t="s">
        <v>179</v>
      </c>
      <c r="I12" s="23" t="s">
        <v>193</v>
      </c>
      <c r="J12" s="25">
        <v>46744</v>
      </c>
      <c r="K12" s="24">
        <v>46744</v>
      </c>
      <c r="L12" s="25">
        <v>46744</v>
      </c>
      <c r="M12" s="89">
        <v>763400</v>
      </c>
      <c r="O12" s="15"/>
    </row>
    <row r="13" spans="1:15" x14ac:dyDescent="0.4">
      <c r="A13" s="14">
        <f t="shared" si="0"/>
        <v>12</v>
      </c>
      <c r="B13" s="23" t="s">
        <v>162</v>
      </c>
      <c r="C13" s="18" t="s">
        <v>64</v>
      </c>
      <c r="D13" s="18" t="s">
        <v>66</v>
      </c>
      <c r="E13" s="23" t="s">
        <v>185</v>
      </c>
      <c r="F13" s="19" t="s">
        <v>38</v>
      </c>
      <c r="G13" s="26" t="s">
        <v>173</v>
      </c>
      <c r="H13" s="26" t="s">
        <v>179</v>
      </c>
      <c r="I13" s="23" t="s">
        <v>194</v>
      </c>
      <c r="J13" s="29">
        <v>47847</v>
      </c>
      <c r="K13" s="28">
        <v>46751</v>
      </c>
      <c r="L13" s="29">
        <v>47847</v>
      </c>
      <c r="M13" s="30">
        <v>988350</v>
      </c>
      <c r="O13" s="15"/>
    </row>
    <row r="14" spans="1:15" x14ac:dyDescent="0.4">
      <c r="A14" s="14">
        <f t="shared" si="0"/>
        <v>13</v>
      </c>
      <c r="B14" s="23" t="s">
        <v>224</v>
      </c>
      <c r="C14" s="88" t="s">
        <v>225</v>
      </c>
      <c r="D14" s="88" t="s">
        <v>226</v>
      </c>
      <c r="E14" s="18" t="s">
        <v>227</v>
      </c>
      <c r="F14" s="19" t="s">
        <v>229</v>
      </c>
      <c r="G14" s="26" t="s">
        <v>228</v>
      </c>
      <c r="H14" s="26" t="s">
        <v>230</v>
      </c>
      <c r="I14" s="18" t="s">
        <v>231</v>
      </c>
      <c r="J14" s="29">
        <v>47903</v>
      </c>
      <c r="K14" s="28">
        <v>46807</v>
      </c>
      <c r="L14" s="29">
        <v>47903</v>
      </c>
      <c r="M14" s="30">
        <v>593297</v>
      </c>
    </row>
    <row r="15" spans="1:15" x14ac:dyDescent="0.4">
      <c r="A15" s="14">
        <f t="shared" si="0"/>
        <v>14</v>
      </c>
      <c r="B15" s="18"/>
      <c r="E15" s="18"/>
      <c r="F15" s="19"/>
      <c r="G15" s="26"/>
      <c r="H15" s="19"/>
      <c r="I15" s="19"/>
      <c r="J15" s="18"/>
      <c r="K15" s="26"/>
      <c r="L15" s="28"/>
      <c r="M15" s="30"/>
    </row>
    <row r="16" spans="1:15" x14ac:dyDescent="0.4">
      <c r="A16" s="14">
        <f t="shared" si="0"/>
        <v>15</v>
      </c>
      <c r="B16" s="18"/>
      <c r="E16" s="18"/>
      <c r="F16" s="19"/>
      <c r="G16" s="26"/>
      <c r="H16" s="19"/>
      <c r="I16" s="19"/>
      <c r="J16" s="18"/>
      <c r="K16" s="26"/>
      <c r="L16" s="28"/>
      <c r="M16" s="30"/>
    </row>
    <row r="17" spans="1:13" x14ac:dyDescent="0.4">
      <c r="A17" s="14">
        <f t="shared" si="0"/>
        <v>16</v>
      </c>
      <c r="B17" s="18"/>
      <c r="E17" s="18"/>
      <c r="F17" s="19"/>
      <c r="G17" s="26"/>
      <c r="H17" s="19"/>
      <c r="I17" s="19"/>
      <c r="J17" s="18"/>
      <c r="K17" s="26"/>
      <c r="L17" s="28"/>
      <c r="M17" s="30"/>
    </row>
  </sheetData>
  <phoneticPr fontId="3" type="noConversion"/>
  <conditionalFormatting sqref="F2:M7 C2:E13 A2:B17 F8:K8 M8 F9:M17 C14:D14 E14:E17">
    <cfRule type="expression" dxfId="5" priority="11">
      <formula>OR(#REF!="매각",#REF!="폐기",#REF!="계약종료")</formula>
    </cfRule>
    <cfRule type="expression" dxfId="4" priority="12">
      <formula>#REF!="YES"</formula>
    </cfRule>
  </conditionalFormatting>
  <dataValidations count="1">
    <dataValidation type="list" allowBlank="1" showInputMessage="1" showErrorMessage="1" sqref="B15:B17" xr:uid="{00000000-0002-0000-0000-000000000000}">
      <formula1>사업장명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O93"/>
  <sheetViews>
    <sheetView tabSelected="1" zoomScale="85" zoomScaleNormal="85" workbookViewId="0">
      <selection activeCell="G15" sqref="G15"/>
    </sheetView>
  </sheetViews>
  <sheetFormatPr defaultRowHeight="17.399999999999999" x14ac:dyDescent="0.4"/>
  <cols>
    <col min="1" max="1" width="11.8984375" bestFit="1" customWidth="1"/>
    <col min="2" max="2" width="11.8984375" customWidth="1"/>
    <col min="3" max="3" width="13.5" customWidth="1"/>
    <col min="4" max="4" width="40.796875" bestFit="1" customWidth="1"/>
    <col min="5" max="5" width="11.8984375" bestFit="1" customWidth="1"/>
    <col min="6" max="6" width="26.19921875" bestFit="1" customWidth="1"/>
    <col min="7" max="7" width="11.5" bestFit="1" customWidth="1"/>
    <col min="8" max="8" width="25.3984375" bestFit="1" customWidth="1"/>
  </cols>
  <sheetData>
    <row r="1" spans="1:8" ht="18" thickBot="1" x14ac:dyDescent="0.45">
      <c r="A1" s="20" t="s">
        <v>195</v>
      </c>
      <c r="B1" s="20" t="s">
        <v>218</v>
      </c>
      <c r="C1" s="20" t="s">
        <v>21</v>
      </c>
      <c r="D1" s="20" t="s">
        <v>196</v>
      </c>
      <c r="E1" s="20" t="s">
        <v>22</v>
      </c>
      <c r="F1" s="20" t="s">
        <v>197</v>
      </c>
      <c r="G1" s="20" t="s">
        <v>23</v>
      </c>
      <c r="H1" s="20" t="s">
        <v>24</v>
      </c>
    </row>
    <row r="2" spans="1:8" x14ac:dyDescent="0.4">
      <c r="A2" s="32">
        <v>45854</v>
      </c>
      <c r="B2" s="32" t="s">
        <v>217</v>
      </c>
      <c r="C2" s="33" t="s">
        <v>208</v>
      </c>
      <c r="D2" s="33" t="s">
        <v>50</v>
      </c>
      <c r="E2" s="86">
        <v>126611</v>
      </c>
      <c r="F2" s="33" t="s">
        <v>52</v>
      </c>
      <c r="G2" s="27">
        <v>889650</v>
      </c>
      <c r="H2" s="34"/>
    </row>
    <row r="3" spans="1:8" x14ac:dyDescent="0.4">
      <c r="A3" s="32">
        <v>45855</v>
      </c>
      <c r="B3" s="32" t="s">
        <v>219</v>
      </c>
      <c r="C3" s="33" t="s">
        <v>209</v>
      </c>
      <c r="D3" s="33" t="s">
        <v>55</v>
      </c>
      <c r="E3" s="86">
        <v>130000</v>
      </c>
      <c r="F3" s="8" t="s">
        <v>51</v>
      </c>
      <c r="G3" s="27">
        <v>280000</v>
      </c>
      <c r="H3" s="34"/>
    </row>
    <row r="4" spans="1:8" x14ac:dyDescent="0.4">
      <c r="A4" s="10">
        <v>45883</v>
      </c>
      <c r="B4" s="32" t="s">
        <v>220</v>
      </c>
      <c r="C4" s="8" t="s">
        <v>210</v>
      </c>
      <c r="D4" s="8" t="s">
        <v>43</v>
      </c>
      <c r="E4" s="87">
        <v>76000</v>
      </c>
      <c r="F4" s="8" t="s">
        <v>44</v>
      </c>
      <c r="G4" s="9">
        <v>260000</v>
      </c>
      <c r="H4" s="8" t="s">
        <v>53</v>
      </c>
    </row>
    <row r="5" spans="1:8" x14ac:dyDescent="0.4">
      <c r="A5" s="10">
        <v>45888</v>
      </c>
      <c r="B5" s="32" t="s">
        <v>221</v>
      </c>
      <c r="C5" s="8" t="s">
        <v>211</v>
      </c>
      <c r="D5" s="8" t="s">
        <v>54</v>
      </c>
      <c r="E5" s="87">
        <v>39000</v>
      </c>
      <c r="F5" s="8" t="s">
        <v>51</v>
      </c>
      <c r="G5" s="9">
        <v>20000</v>
      </c>
      <c r="H5" s="8"/>
    </row>
    <row r="6" spans="1:8" x14ac:dyDescent="0.4">
      <c r="A6" s="10">
        <v>45890</v>
      </c>
      <c r="B6" s="32" t="s">
        <v>219</v>
      </c>
      <c r="C6" s="8" t="s">
        <v>212</v>
      </c>
      <c r="D6" s="8" t="s">
        <v>45</v>
      </c>
      <c r="E6" s="87">
        <v>137935</v>
      </c>
      <c r="F6" s="8" t="s">
        <v>46</v>
      </c>
      <c r="G6" s="9">
        <v>396440</v>
      </c>
      <c r="H6" s="8"/>
    </row>
    <row r="7" spans="1:8" x14ac:dyDescent="0.4">
      <c r="A7" s="10">
        <v>45915</v>
      </c>
      <c r="B7" s="32" t="s">
        <v>221</v>
      </c>
      <c r="C7" s="8" t="s">
        <v>213</v>
      </c>
      <c r="D7" s="8" t="s">
        <v>60</v>
      </c>
      <c r="E7" s="87">
        <v>40000</v>
      </c>
      <c r="F7" s="8" t="s">
        <v>61</v>
      </c>
      <c r="G7" s="9">
        <v>131800</v>
      </c>
      <c r="H7" s="8"/>
    </row>
    <row r="8" spans="1:8" x14ac:dyDescent="0.4">
      <c r="A8" s="10">
        <v>45975</v>
      </c>
      <c r="B8" s="32" t="s">
        <v>222</v>
      </c>
      <c r="C8" s="8" t="s">
        <v>214</v>
      </c>
      <c r="D8" s="8" t="s">
        <v>62</v>
      </c>
      <c r="E8" s="87">
        <v>35734</v>
      </c>
      <c r="F8" s="8" t="s">
        <v>237</v>
      </c>
      <c r="G8" s="9">
        <v>110000</v>
      </c>
      <c r="H8" s="8"/>
    </row>
    <row r="9" spans="1:8" x14ac:dyDescent="0.4">
      <c r="A9" s="10">
        <v>46028</v>
      </c>
      <c r="B9" s="32" t="s">
        <v>217</v>
      </c>
      <c r="C9" s="8" t="s">
        <v>208</v>
      </c>
      <c r="D9" s="8" t="s">
        <v>62</v>
      </c>
      <c r="E9" s="87">
        <v>136233</v>
      </c>
      <c r="F9" s="8" t="s">
        <v>237</v>
      </c>
      <c r="G9" s="9">
        <v>105000</v>
      </c>
      <c r="H9" s="8"/>
    </row>
    <row r="10" spans="1:8" x14ac:dyDescent="0.4">
      <c r="A10" s="10">
        <v>46043</v>
      </c>
      <c r="B10" s="32" t="s">
        <v>221</v>
      </c>
      <c r="C10" s="8" t="s">
        <v>215</v>
      </c>
      <c r="D10" s="8" t="s">
        <v>60</v>
      </c>
      <c r="E10" s="87">
        <v>50000</v>
      </c>
      <c r="F10" s="8" t="s">
        <v>61</v>
      </c>
      <c r="G10" s="9">
        <v>131800</v>
      </c>
      <c r="H10" s="8"/>
    </row>
    <row r="11" spans="1:8" x14ac:dyDescent="0.4">
      <c r="A11" s="10">
        <v>46050</v>
      </c>
      <c r="B11" s="32" t="s">
        <v>223</v>
      </c>
      <c r="C11" s="18" t="s">
        <v>216</v>
      </c>
      <c r="D11" s="8" t="s">
        <v>60</v>
      </c>
      <c r="E11" s="87">
        <v>68243</v>
      </c>
      <c r="F11" s="8" t="s">
        <v>61</v>
      </c>
      <c r="G11" s="9">
        <v>185200</v>
      </c>
      <c r="H11" s="8"/>
    </row>
    <row r="12" spans="1:8" x14ac:dyDescent="0.4">
      <c r="A12" s="10">
        <v>46105</v>
      </c>
      <c r="B12" s="22" t="s">
        <v>160</v>
      </c>
      <c r="C12" s="35" t="s">
        <v>207</v>
      </c>
      <c r="D12" s="8" t="s">
        <v>232</v>
      </c>
      <c r="E12" s="87">
        <v>175843</v>
      </c>
      <c r="F12" s="8" t="s">
        <v>233</v>
      </c>
      <c r="G12" s="9">
        <v>350000</v>
      </c>
      <c r="H12" s="8"/>
    </row>
    <row r="13" spans="1:8" x14ac:dyDescent="0.4">
      <c r="A13" s="10">
        <v>46182</v>
      </c>
      <c r="B13" s="32" t="s">
        <v>223</v>
      </c>
      <c r="C13" s="18" t="s">
        <v>199</v>
      </c>
      <c r="D13" s="8" t="s">
        <v>60</v>
      </c>
      <c r="E13" s="87">
        <v>77785</v>
      </c>
      <c r="F13" s="8" t="s">
        <v>61</v>
      </c>
      <c r="G13" s="9">
        <v>185284</v>
      </c>
      <c r="H13" s="8"/>
    </row>
    <row r="14" spans="1:8" x14ac:dyDescent="0.4">
      <c r="A14" s="10">
        <v>46188</v>
      </c>
      <c r="B14" s="32" t="s">
        <v>221</v>
      </c>
      <c r="C14" s="8" t="s">
        <v>202</v>
      </c>
      <c r="D14" s="8" t="s">
        <v>236</v>
      </c>
      <c r="E14" s="87">
        <v>60381</v>
      </c>
      <c r="F14" s="8" t="s">
        <v>237</v>
      </c>
      <c r="G14" s="9">
        <v>630000</v>
      </c>
      <c r="H14" s="8"/>
    </row>
    <row r="15" spans="1:8" x14ac:dyDescent="0.4">
      <c r="A15" s="10"/>
      <c r="B15" s="10"/>
      <c r="C15" s="8"/>
      <c r="D15" s="8"/>
      <c r="E15" s="87"/>
      <c r="F15" s="8"/>
      <c r="G15" s="9"/>
      <c r="H15" s="8"/>
    </row>
    <row r="16" spans="1:8" x14ac:dyDescent="0.4">
      <c r="A16" s="10"/>
      <c r="B16" s="10"/>
      <c r="C16" s="8"/>
      <c r="D16" s="8"/>
      <c r="E16" s="87"/>
      <c r="F16" s="8"/>
      <c r="G16" s="9"/>
      <c r="H16" s="8"/>
    </row>
    <row r="17" spans="1:8" x14ac:dyDescent="0.4">
      <c r="A17" s="10"/>
      <c r="B17" s="10"/>
      <c r="C17" s="8"/>
      <c r="D17" s="8"/>
      <c r="E17" s="87"/>
      <c r="F17" s="8"/>
      <c r="G17" s="9"/>
      <c r="H17" s="8"/>
    </row>
    <row r="18" spans="1:8" x14ac:dyDescent="0.4">
      <c r="A18" s="10"/>
      <c r="B18" s="10"/>
      <c r="C18" s="8"/>
      <c r="D18" s="8"/>
      <c r="E18" s="87"/>
      <c r="F18" s="8"/>
      <c r="G18" s="9"/>
      <c r="H18" s="8"/>
    </row>
    <row r="19" spans="1:8" x14ac:dyDescent="0.4">
      <c r="A19" s="10"/>
      <c r="B19" s="10"/>
      <c r="C19" s="8"/>
      <c r="D19" s="8"/>
      <c r="E19" s="87"/>
      <c r="F19" s="8"/>
      <c r="G19" s="9"/>
      <c r="H19" s="8"/>
    </row>
    <row r="20" spans="1:8" x14ac:dyDescent="0.4">
      <c r="A20" s="10"/>
      <c r="B20" s="10"/>
      <c r="C20" s="8"/>
      <c r="D20" s="8"/>
      <c r="E20" s="87"/>
      <c r="F20" s="8"/>
      <c r="G20" s="9"/>
      <c r="H20" s="8"/>
    </row>
    <row r="21" spans="1:8" x14ac:dyDescent="0.4">
      <c r="A21" s="10"/>
      <c r="B21" s="10"/>
      <c r="C21" s="8"/>
      <c r="D21" s="8"/>
      <c r="E21" s="87"/>
      <c r="F21" s="8"/>
      <c r="G21" s="9"/>
      <c r="H21" s="8"/>
    </row>
    <row r="22" spans="1:8" x14ac:dyDescent="0.4">
      <c r="A22" s="10"/>
      <c r="B22" s="10"/>
      <c r="C22" s="8"/>
      <c r="D22" s="8"/>
      <c r="E22" s="87"/>
      <c r="F22" s="8"/>
      <c r="G22" s="9"/>
      <c r="H22" s="8"/>
    </row>
    <row r="23" spans="1:8" x14ac:dyDescent="0.4">
      <c r="A23" s="10"/>
      <c r="B23" s="10"/>
      <c r="C23" s="8"/>
      <c r="D23" s="8"/>
      <c r="E23" s="87"/>
      <c r="F23" s="8"/>
      <c r="G23" s="9"/>
      <c r="H23" s="8"/>
    </row>
    <row r="24" spans="1:8" x14ac:dyDescent="0.4">
      <c r="A24" s="10"/>
      <c r="B24" s="10"/>
      <c r="C24" s="8"/>
      <c r="D24" s="8"/>
      <c r="E24" s="87"/>
      <c r="F24" s="8"/>
      <c r="G24" s="9"/>
      <c r="H24" s="8"/>
    </row>
    <row r="25" spans="1:8" x14ac:dyDescent="0.4">
      <c r="A25" s="10"/>
      <c r="B25" s="10"/>
      <c r="C25" s="8"/>
      <c r="D25" s="8"/>
      <c r="E25" s="87"/>
      <c r="F25" s="8"/>
      <c r="G25" s="9"/>
      <c r="H25" s="8"/>
    </row>
    <row r="26" spans="1:8" x14ac:dyDescent="0.4">
      <c r="A26" s="10"/>
      <c r="B26" s="10"/>
      <c r="C26" s="8"/>
      <c r="D26" s="8"/>
      <c r="E26" s="87"/>
      <c r="F26" s="8"/>
      <c r="G26" s="9"/>
      <c r="H26" s="8"/>
    </row>
    <row r="27" spans="1:8" x14ac:dyDescent="0.4">
      <c r="A27" s="10"/>
      <c r="B27" s="10"/>
      <c r="C27" s="8"/>
      <c r="D27" s="8"/>
      <c r="E27" s="87"/>
      <c r="F27" s="8"/>
      <c r="G27" s="9"/>
      <c r="H27" s="8"/>
    </row>
    <row r="28" spans="1:8" x14ac:dyDescent="0.4">
      <c r="A28" s="10"/>
      <c r="B28" s="10"/>
      <c r="C28" s="8"/>
      <c r="D28" s="8"/>
      <c r="E28" s="87"/>
      <c r="F28" s="8"/>
      <c r="G28" s="9"/>
      <c r="H28" s="8"/>
    </row>
    <row r="29" spans="1:8" x14ac:dyDescent="0.4">
      <c r="A29" s="10"/>
      <c r="B29" s="10"/>
      <c r="C29" s="8"/>
      <c r="D29" s="8"/>
      <c r="E29" s="87"/>
      <c r="F29" s="8"/>
      <c r="G29" s="9"/>
      <c r="H29" s="8"/>
    </row>
    <row r="30" spans="1:8" x14ac:dyDescent="0.4">
      <c r="A30" s="10"/>
      <c r="B30" s="10"/>
      <c r="C30" s="8"/>
      <c r="D30" s="8"/>
      <c r="E30" s="87"/>
      <c r="F30" s="8"/>
      <c r="G30" s="9"/>
      <c r="H30" s="8"/>
    </row>
    <row r="31" spans="1:8" x14ac:dyDescent="0.4">
      <c r="A31" s="10"/>
      <c r="B31" s="10"/>
      <c r="C31" s="8"/>
      <c r="D31" s="8"/>
      <c r="E31" s="87"/>
      <c r="F31" s="8"/>
      <c r="G31" s="9"/>
      <c r="H31" s="8"/>
    </row>
    <row r="32" spans="1:8" x14ac:dyDescent="0.4">
      <c r="A32" s="10"/>
      <c r="B32" s="10"/>
      <c r="C32" s="8"/>
      <c r="D32" s="8"/>
      <c r="E32" s="87"/>
      <c r="F32" s="8"/>
      <c r="G32" s="9"/>
      <c r="H32" s="8"/>
    </row>
    <row r="33" spans="1:8" x14ac:dyDescent="0.4">
      <c r="A33" s="10"/>
      <c r="B33" s="10"/>
      <c r="C33" s="8"/>
      <c r="D33" s="8"/>
      <c r="E33" s="87"/>
      <c r="F33" s="8"/>
      <c r="G33" s="9"/>
      <c r="H33" s="8"/>
    </row>
    <row r="34" spans="1:8" x14ac:dyDescent="0.4">
      <c r="A34" s="10"/>
      <c r="B34" s="10"/>
      <c r="C34" s="8"/>
      <c r="D34" s="8"/>
      <c r="E34" s="87"/>
      <c r="F34" s="8"/>
      <c r="G34" s="9"/>
      <c r="H34" s="8"/>
    </row>
    <row r="35" spans="1:8" x14ac:dyDescent="0.4">
      <c r="A35" s="10"/>
      <c r="B35" s="10"/>
      <c r="C35" s="8"/>
      <c r="D35" s="8"/>
      <c r="E35" s="87"/>
      <c r="F35" s="8"/>
      <c r="G35" s="9"/>
      <c r="H35" s="8"/>
    </row>
    <row r="36" spans="1:8" x14ac:dyDescent="0.4">
      <c r="A36" s="10"/>
      <c r="B36" s="10"/>
      <c r="C36" s="8"/>
      <c r="D36" s="8"/>
      <c r="E36" s="87"/>
      <c r="F36" s="8"/>
      <c r="G36" s="9"/>
      <c r="H36" s="8"/>
    </row>
    <row r="37" spans="1:8" x14ac:dyDescent="0.4">
      <c r="A37" s="10"/>
      <c r="B37" s="10"/>
      <c r="C37" s="8"/>
      <c r="D37" s="8"/>
      <c r="E37" s="87"/>
      <c r="F37" s="8"/>
      <c r="G37" s="9"/>
      <c r="H37" s="8"/>
    </row>
    <row r="38" spans="1:8" x14ac:dyDescent="0.4">
      <c r="A38" s="10"/>
      <c r="B38" s="10"/>
      <c r="C38" s="8"/>
      <c r="D38" s="8"/>
      <c r="E38" s="87"/>
      <c r="F38" s="8"/>
      <c r="G38" s="9"/>
      <c r="H38" s="8"/>
    </row>
    <row r="39" spans="1:8" x14ac:dyDescent="0.4">
      <c r="A39" s="10"/>
      <c r="B39" s="10"/>
      <c r="C39" s="8"/>
      <c r="D39" s="8"/>
      <c r="E39" s="16"/>
      <c r="F39" s="8"/>
      <c r="G39" s="9"/>
      <c r="H39" s="8"/>
    </row>
    <row r="40" spans="1:8" x14ac:dyDescent="0.4">
      <c r="A40" s="10"/>
      <c r="B40" s="10"/>
      <c r="C40" s="8"/>
      <c r="D40" s="8"/>
      <c r="E40" s="16"/>
      <c r="F40" s="8"/>
      <c r="G40" s="9"/>
      <c r="H40" s="8"/>
    </row>
    <row r="41" spans="1:8" x14ac:dyDescent="0.4">
      <c r="A41" s="10"/>
      <c r="B41" s="10"/>
      <c r="C41" s="8"/>
      <c r="D41" s="8"/>
      <c r="E41" s="16"/>
      <c r="F41" s="8"/>
      <c r="G41" s="9"/>
      <c r="H41" s="8"/>
    </row>
    <row r="42" spans="1:8" x14ac:dyDescent="0.4">
      <c r="A42" s="10"/>
      <c r="B42" s="10"/>
      <c r="C42" s="8"/>
      <c r="D42" s="8"/>
      <c r="E42" s="16"/>
      <c r="F42" s="8"/>
      <c r="G42" s="9"/>
      <c r="H42" s="8"/>
    </row>
    <row r="43" spans="1:8" x14ac:dyDescent="0.4">
      <c r="A43" s="10"/>
      <c r="B43" s="10"/>
      <c r="C43" s="8"/>
      <c r="D43" s="8"/>
      <c r="E43" s="16"/>
      <c r="F43" s="8"/>
      <c r="G43" s="9"/>
      <c r="H43" s="8"/>
    </row>
    <row r="44" spans="1:8" x14ac:dyDescent="0.4">
      <c r="A44" s="10"/>
      <c r="B44" s="10"/>
      <c r="C44" s="8"/>
      <c r="D44" s="8"/>
      <c r="E44" s="16"/>
      <c r="F44" s="8"/>
      <c r="G44" s="9"/>
      <c r="H44" s="8"/>
    </row>
    <row r="45" spans="1:8" x14ac:dyDescent="0.4">
      <c r="A45" s="10"/>
      <c r="B45" s="10"/>
      <c r="C45" s="8"/>
      <c r="D45" s="8"/>
      <c r="E45" s="16"/>
      <c r="F45" s="8"/>
      <c r="G45" s="9"/>
      <c r="H45" s="8"/>
    </row>
    <row r="46" spans="1:8" x14ac:dyDescent="0.4">
      <c r="A46" s="10"/>
      <c r="B46" s="10"/>
      <c r="C46" s="8"/>
      <c r="D46" s="8"/>
      <c r="E46" s="16"/>
      <c r="F46" s="8"/>
      <c r="G46" s="9"/>
      <c r="H46" s="8"/>
    </row>
    <row r="47" spans="1:8" x14ac:dyDescent="0.4">
      <c r="A47" s="10"/>
      <c r="B47" s="10"/>
      <c r="C47" s="8"/>
      <c r="D47" s="8"/>
      <c r="E47" s="16"/>
      <c r="F47" s="8"/>
      <c r="G47" s="9"/>
      <c r="H47" s="8"/>
    </row>
    <row r="48" spans="1:8" x14ac:dyDescent="0.4">
      <c r="A48" s="10"/>
      <c r="B48" s="10"/>
      <c r="C48" s="8"/>
      <c r="D48" s="8"/>
      <c r="E48" s="16"/>
      <c r="F48" s="8"/>
      <c r="G48" s="9"/>
      <c r="H48" s="8"/>
    </row>
    <row r="49" spans="1:8" x14ac:dyDescent="0.4">
      <c r="A49" s="10"/>
      <c r="B49" s="10"/>
      <c r="C49" s="8"/>
      <c r="D49" s="8"/>
      <c r="E49" s="16"/>
      <c r="F49" s="8"/>
      <c r="G49" s="9"/>
      <c r="H49" s="8"/>
    </row>
    <row r="50" spans="1:8" x14ac:dyDescent="0.4">
      <c r="A50" s="10"/>
      <c r="B50" s="10"/>
      <c r="C50" s="8"/>
      <c r="D50" s="8"/>
      <c r="E50" s="16"/>
      <c r="F50" s="8"/>
      <c r="G50" s="9"/>
      <c r="H50" s="8"/>
    </row>
    <row r="51" spans="1:8" x14ac:dyDescent="0.4">
      <c r="A51" s="10"/>
      <c r="B51" s="10"/>
      <c r="C51" s="8"/>
      <c r="D51" s="8"/>
      <c r="E51" s="16"/>
      <c r="F51" s="8"/>
      <c r="G51" s="9"/>
      <c r="H51" s="8"/>
    </row>
    <row r="52" spans="1:8" x14ac:dyDescent="0.4">
      <c r="A52" s="10"/>
      <c r="B52" s="10"/>
      <c r="C52" s="8"/>
      <c r="D52" s="8"/>
      <c r="E52" s="16"/>
      <c r="F52" s="8"/>
      <c r="G52" s="9"/>
      <c r="H52" s="8"/>
    </row>
    <row r="53" spans="1:8" x14ac:dyDescent="0.4">
      <c r="A53" s="10"/>
      <c r="B53" s="10"/>
      <c r="C53" s="8"/>
      <c r="D53" s="8"/>
      <c r="E53" s="16"/>
      <c r="F53" s="8"/>
      <c r="G53" s="9"/>
      <c r="H53" s="8"/>
    </row>
    <row r="54" spans="1:8" x14ac:dyDescent="0.4">
      <c r="A54" s="10"/>
      <c r="B54" s="10"/>
      <c r="C54" s="8"/>
      <c r="D54" s="8"/>
      <c r="E54" s="16"/>
      <c r="F54" s="8"/>
      <c r="G54" s="9"/>
      <c r="H54" s="8"/>
    </row>
    <row r="55" spans="1:8" x14ac:dyDescent="0.4">
      <c r="A55" s="10"/>
      <c r="B55" s="10"/>
      <c r="C55" s="8"/>
      <c r="D55" s="8"/>
      <c r="E55" s="16"/>
      <c r="F55" s="8"/>
      <c r="G55" s="9"/>
      <c r="H55" s="8"/>
    </row>
    <row r="56" spans="1:8" x14ac:dyDescent="0.4">
      <c r="A56" s="10"/>
      <c r="B56" s="10"/>
      <c r="C56" s="8"/>
      <c r="D56" s="8"/>
      <c r="E56" s="16"/>
      <c r="F56" s="8"/>
      <c r="G56" s="9"/>
      <c r="H56" s="8"/>
    </row>
    <row r="57" spans="1:8" x14ac:dyDescent="0.4">
      <c r="A57" s="10"/>
      <c r="B57" s="10"/>
      <c r="C57" s="8"/>
      <c r="D57" s="8"/>
      <c r="E57" s="16"/>
      <c r="F57" s="8"/>
      <c r="G57" s="9"/>
      <c r="H57" s="8"/>
    </row>
    <row r="58" spans="1:8" x14ac:dyDescent="0.4">
      <c r="A58" s="10"/>
      <c r="B58" s="10"/>
      <c r="C58" s="8"/>
      <c r="D58" s="8"/>
      <c r="E58" s="16"/>
      <c r="F58" s="8"/>
      <c r="G58" s="9"/>
      <c r="H58" s="8"/>
    </row>
    <row r="59" spans="1:8" x14ac:dyDescent="0.4">
      <c r="A59" s="10"/>
      <c r="B59" s="10"/>
      <c r="C59" s="8"/>
      <c r="D59" s="8"/>
      <c r="E59" s="16"/>
      <c r="F59" s="8"/>
      <c r="G59" s="9"/>
      <c r="H59" s="8"/>
    </row>
    <row r="60" spans="1:8" x14ac:dyDescent="0.4">
      <c r="A60" s="10"/>
      <c r="B60" s="10"/>
      <c r="C60" s="8"/>
      <c r="D60" s="8"/>
      <c r="E60" s="16"/>
      <c r="F60" s="8"/>
      <c r="G60" s="9"/>
      <c r="H60" s="8"/>
    </row>
    <row r="61" spans="1:8" x14ac:dyDescent="0.4">
      <c r="A61" s="10"/>
      <c r="B61" s="10"/>
      <c r="C61" s="8"/>
      <c r="D61" s="8"/>
      <c r="E61" s="16"/>
      <c r="F61" s="8"/>
      <c r="G61" s="9"/>
      <c r="H61" s="8"/>
    </row>
    <row r="62" spans="1:8" x14ac:dyDescent="0.4">
      <c r="A62" s="10"/>
      <c r="B62" s="10"/>
      <c r="C62" s="8"/>
      <c r="D62" s="8"/>
      <c r="E62" s="16"/>
      <c r="F62" s="8"/>
      <c r="G62" s="9"/>
      <c r="H62" s="8"/>
    </row>
    <row r="63" spans="1:8" x14ac:dyDescent="0.4">
      <c r="A63" s="10"/>
      <c r="B63" s="10"/>
      <c r="C63" s="8"/>
      <c r="D63" s="8"/>
      <c r="E63" s="16"/>
      <c r="F63" s="8"/>
      <c r="G63" s="9"/>
      <c r="H63" s="8"/>
    </row>
    <row r="64" spans="1:8" x14ac:dyDescent="0.4">
      <c r="A64" s="10"/>
      <c r="B64" s="10"/>
      <c r="C64" s="8"/>
      <c r="D64" s="8"/>
      <c r="E64" s="16"/>
      <c r="F64" s="8"/>
      <c r="G64" s="9"/>
      <c r="H64" s="8"/>
    </row>
    <row r="65" spans="1:8" x14ac:dyDescent="0.4">
      <c r="A65" s="10"/>
      <c r="B65" s="10"/>
      <c r="C65" s="8"/>
      <c r="D65" s="8"/>
      <c r="E65" s="16"/>
      <c r="F65" s="8"/>
      <c r="G65" s="9"/>
      <c r="H65" s="8"/>
    </row>
    <row r="66" spans="1:8" x14ac:dyDescent="0.4">
      <c r="A66" s="10"/>
      <c r="B66" s="10"/>
      <c r="C66" s="8"/>
      <c r="D66" s="8"/>
      <c r="E66" s="16"/>
      <c r="F66" s="8"/>
      <c r="G66" s="9"/>
      <c r="H66" s="8"/>
    </row>
    <row r="67" spans="1:8" x14ac:dyDescent="0.4">
      <c r="A67" s="10"/>
      <c r="B67" s="10"/>
      <c r="C67" s="8"/>
      <c r="D67" s="8"/>
      <c r="E67" s="16"/>
      <c r="F67" s="8"/>
      <c r="G67" s="9"/>
      <c r="H67" s="8"/>
    </row>
    <row r="68" spans="1:8" x14ac:dyDescent="0.4">
      <c r="A68" s="10"/>
      <c r="B68" s="10"/>
      <c r="C68" s="8"/>
      <c r="D68" s="8"/>
      <c r="E68" s="16"/>
      <c r="F68" s="8"/>
      <c r="G68" s="9"/>
      <c r="H68" s="8"/>
    </row>
    <row r="69" spans="1:8" x14ac:dyDescent="0.4">
      <c r="A69" s="10"/>
      <c r="B69" s="10"/>
      <c r="C69" s="8"/>
      <c r="D69" s="8"/>
      <c r="E69" s="16"/>
      <c r="F69" s="8"/>
      <c r="G69" s="9"/>
      <c r="H69" s="8"/>
    </row>
    <row r="70" spans="1:8" x14ac:dyDescent="0.4">
      <c r="A70" s="10"/>
      <c r="B70" s="10"/>
      <c r="C70" s="8"/>
      <c r="D70" s="8"/>
      <c r="E70" s="16"/>
      <c r="F70" s="8"/>
      <c r="G70" s="9"/>
      <c r="H70" s="8"/>
    </row>
    <row r="71" spans="1:8" x14ac:dyDescent="0.4">
      <c r="A71" s="10"/>
      <c r="B71" s="10"/>
      <c r="C71" s="8"/>
      <c r="D71" s="8"/>
      <c r="E71" s="16"/>
      <c r="F71" s="8"/>
      <c r="G71" s="9"/>
      <c r="H71" s="8"/>
    </row>
    <row r="72" spans="1:8" x14ac:dyDescent="0.4">
      <c r="A72" s="10"/>
      <c r="B72" s="10"/>
      <c r="C72" s="8"/>
      <c r="D72" s="8"/>
      <c r="E72" s="16"/>
      <c r="F72" s="8"/>
      <c r="G72" s="9"/>
      <c r="H72" s="8"/>
    </row>
    <row r="73" spans="1:8" x14ac:dyDescent="0.4">
      <c r="A73" s="10"/>
      <c r="B73" s="10"/>
      <c r="C73" s="8"/>
      <c r="D73" s="8"/>
      <c r="E73" s="16"/>
      <c r="F73" s="8"/>
      <c r="G73" s="9"/>
      <c r="H73" s="8"/>
    </row>
    <row r="74" spans="1:8" x14ac:dyDescent="0.4">
      <c r="A74" s="10"/>
      <c r="B74" s="10"/>
      <c r="C74" s="8"/>
      <c r="D74" s="8"/>
      <c r="E74" s="16"/>
      <c r="F74" s="8"/>
      <c r="G74" s="9"/>
      <c r="H74" s="8"/>
    </row>
    <row r="75" spans="1:8" x14ac:dyDescent="0.4">
      <c r="A75" s="10"/>
      <c r="B75" s="10"/>
      <c r="C75" s="8"/>
      <c r="D75" s="8"/>
      <c r="E75" s="16"/>
      <c r="F75" s="8"/>
      <c r="G75" s="9"/>
      <c r="H75" s="8"/>
    </row>
    <row r="76" spans="1:8" x14ac:dyDescent="0.4">
      <c r="A76" s="10"/>
      <c r="B76" s="10"/>
      <c r="C76" s="8"/>
      <c r="D76" s="8"/>
      <c r="E76" s="16"/>
      <c r="F76" s="8"/>
      <c r="G76" s="9"/>
      <c r="H76" s="8"/>
    </row>
    <row r="77" spans="1:8" x14ac:dyDescent="0.4">
      <c r="A77" s="10"/>
      <c r="B77" s="10"/>
      <c r="C77" s="8"/>
      <c r="D77" s="8"/>
      <c r="E77" s="16"/>
      <c r="F77" s="8"/>
      <c r="G77" s="9"/>
      <c r="H77" s="8"/>
    </row>
    <row r="78" spans="1:8" x14ac:dyDescent="0.4">
      <c r="A78" s="10"/>
      <c r="B78" s="10"/>
      <c r="C78" s="8"/>
      <c r="D78" s="8"/>
      <c r="E78" s="16"/>
      <c r="F78" s="8"/>
      <c r="G78" s="9"/>
      <c r="H78" s="8"/>
    </row>
    <row r="79" spans="1:8" x14ac:dyDescent="0.4">
      <c r="A79" s="10"/>
      <c r="B79" s="10"/>
      <c r="C79" s="8"/>
      <c r="D79" s="8"/>
      <c r="E79" s="16"/>
      <c r="F79" s="8"/>
      <c r="G79" s="9"/>
      <c r="H79" s="8"/>
    </row>
    <row r="80" spans="1:8" x14ac:dyDescent="0.4">
      <c r="A80" s="10"/>
      <c r="B80" s="10"/>
      <c r="C80" s="8"/>
      <c r="D80" s="8"/>
      <c r="E80" s="16"/>
      <c r="F80" s="8"/>
      <c r="G80" s="9"/>
      <c r="H80" s="8"/>
    </row>
    <row r="81" spans="1:15" x14ac:dyDescent="0.4">
      <c r="A81" s="10"/>
      <c r="B81" s="10"/>
      <c r="C81" s="8"/>
      <c r="D81" s="8"/>
      <c r="E81" s="16"/>
      <c r="F81" s="8"/>
      <c r="G81" s="9"/>
      <c r="H81" s="8"/>
    </row>
    <row r="82" spans="1:15" x14ac:dyDescent="0.4">
      <c r="A82" s="10"/>
      <c r="B82" s="10"/>
      <c r="C82" s="8"/>
      <c r="D82" s="8"/>
      <c r="E82" s="16"/>
      <c r="F82" s="8"/>
      <c r="G82" s="9"/>
      <c r="H82" s="8"/>
    </row>
    <row r="83" spans="1:15" x14ac:dyDescent="0.4">
      <c r="A83" s="10"/>
      <c r="B83" s="10"/>
      <c r="C83" s="8"/>
      <c r="D83" s="8"/>
      <c r="E83" s="16"/>
      <c r="F83" s="8"/>
      <c r="G83" s="9"/>
      <c r="H83" s="8"/>
    </row>
    <row r="84" spans="1:15" x14ac:dyDescent="0.4">
      <c r="A84" s="10"/>
      <c r="B84" s="10"/>
      <c r="C84" s="8"/>
      <c r="D84" s="8"/>
      <c r="E84" s="16"/>
      <c r="F84" s="8"/>
      <c r="G84" s="9"/>
      <c r="H84" s="8"/>
    </row>
    <row r="85" spans="1:15" x14ac:dyDescent="0.4">
      <c r="A85" s="10"/>
      <c r="B85" s="10"/>
      <c r="C85" s="8"/>
      <c r="D85" s="8"/>
      <c r="E85" s="16"/>
      <c r="F85" s="8"/>
      <c r="G85" s="9"/>
      <c r="H85" s="8"/>
    </row>
    <row r="86" spans="1:15" x14ac:dyDescent="0.4">
      <c r="A86" s="10"/>
      <c r="B86" s="10"/>
      <c r="C86" s="8"/>
      <c r="D86" s="8"/>
      <c r="E86" s="16"/>
      <c r="F86" s="8"/>
      <c r="G86" s="9"/>
      <c r="H86" s="8"/>
    </row>
    <row r="87" spans="1:15" x14ac:dyDescent="0.4">
      <c r="A87" s="10"/>
      <c r="B87" s="10"/>
      <c r="C87" s="8"/>
      <c r="D87" s="8"/>
      <c r="E87" s="16"/>
      <c r="F87" s="8"/>
      <c r="G87" s="9"/>
      <c r="H87" s="8"/>
    </row>
    <row r="88" spans="1:15" x14ac:dyDescent="0.4">
      <c r="A88" s="10"/>
      <c r="B88" s="10"/>
      <c r="C88" s="8"/>
      <c r="D88" s="8"/>
      <c r="E88" s="16"/>
      <c r="F88" s="8"/>
      <c r="G88" s="9"/>
      <c r="H88" s="8"/>
    </row>
    <row r="89" spans="1:15" x14ac:dyDescent="0.4">
      <c r="A89" s="10"/>
      <c r="B89" s="10"/>
      <c r="C89" s="8"/>
      <c r="D89" s="8"/>
      <c r="E89" s="16"/>
      <c r="F89" s="8"/>
      <c r="G89" s="9"/>
      <c r="H89" s="8"/>
    </row>
    <row r="90" spans="1:15" x14ac:dyDescent="0.4">
      <c r="A90" s="10"/>
      <c r="B90" s="10"/>
      <c r="C90" s="8"/>
      <c r="D90" s="8"/>
      <c r="E90" s="16"/>
      <c r="F90" s="8"/>
      <c r="G90" s="9"/>
      <c r="H90" s="8"/>
    </row>
    <row r="91" spans="1:15" x14ac:dyDescent="0.4">
      <c r="A91" s="10"/>
      <c r="B91" s="10"/>
      <c r="C91" s="8"/>
      <c r="D91" s="8"/>
      <c r="E91" s="16"/>
      <c r="F91" s="8"/>
      <c r="G91" s="9"/>
      <c r="H91" s="8"/>
    </row>
    <row r="92" spans="1:15" x14ac:dyDescent="0.4">
      <c r="A92" s="13"/>
      <c r="B92" s="13"/>
      <c r="C92" s="11"/>
      <c r="D92" s="11"/>
      <c r="E92" s="17"/>
      <c r="F92" s="11"/>
      <c r="G92" s="12"/>
      <c r="H92" s="11"/>
    </row>
    <row r="93" spans="1:15" x14ac:dyDescent="0.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</sheetData>
  <phoneticPr fontId="3" type="noConversion"/>
  <conditionalFormatting sqref="B12">
    <cfRule type="expression" dxfId="3" priority="1">
      <formula>OR(#REF!="매각",#REF!="폐기",#REF!="계약종료")</formula>
    </cfRule>
    <cfRule type="expression" dxfId="2" priority="2">
      <formula>#REF!="YES"</formula>
    </cfRule>
  </conditionalFormatting>
  <conditionalFormatting sqref="C11:C13">
    <cfRule type="expression" dxfId="1" priority="3">
      <formula>OR(#REF!="매각",#REF!="폐기",#REF!="계약종료")</formula>
    </cfRule>
    <cfRule type="expression" dxfId="0" priority="4">
      <formula>#REF!="YES"</formula>
    </cfRule>
  </conditionalFormatting>
  <dataValidations count="1">
    <dataValidation type="list" allowBlank="1" showInputMessage="1" showErrorMessage="1" sqref="C2:C10 C14:C92" xr:uid="{00000000-0002-0000-0100-000000000000}">
      <formula1>차량번호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9:AI37"/>
  <sheetViews>
    <sheetView topLeftCell="A7" workbookViewId="0">
      <selection activeCell="J17" sqref="J17"/>
    </sheetView>
  </sheetViews>
  <sheetFormatPr defaultRowHeight="17.399999999999999" x14ac:dyDescent="0.4"/>
  <cols>
    <col min="3" max="3" width="4.19921875" bestFit="1" customWidth="1"/>
    <col min="4" max="4" width="13.3984375" bestFit="1" customWidth="1"/>
    <col min="5" max="5" width="10.8984375" bestFit="1" customWidth="1"/>
    <col min="6" max="6" width="10.69921875" bestFit="1" customWidth="1"/>
    <col min="7" max="7" width="10.3984375" bestFit="1" customWidth="1"/>
    <col min="8" max="8" width="10.8984375" bestFit="1" customWidth="1"/>
    <col min="9" max="9" width="10.8984375" customWidth="1"/>
    <col min="10" max="10" width="13.3984375" bestFit="1" customWidth="1"/>
    <col min="11" max="13" width="13.5" customWidth="1"/>
    <col min="14" max="14" width="8.796875" customWidth="1"/>
    <col min="15" max="25" width="6.796875" customWidth="1"/>
    <col min="27" max="27" width="4.19921875" bestFit="1" customWidth="1"/>
    <col min="28" max="28" width="16.296875" bestFit="1" customWidth="1"/>
    <col min="29" max="29" width="3.19921875" bestFit="1" customWidth="1"/>
    <col min="30" max="30" width="10.8984375" customWidth="1"/>
    <col min="31" max="35" width="10.8984375" bestFit="1" customWidth="1"/>
  </cols>
  <sheetData>
    <row r="9" spans="3:35" x14ac:dyDescent="0.4">
      <c r="AA9" s="98" t="s">
        <v>114</v>
      </c>
      <c r="AB9" s="96" t="s">
        <v>68</v>
      </c>
      <c r="AC9" s="59"/>
      <c r="AD9" s="37" t="s">
        <v>74</v>
      </c>
      <c r="AE9" s="37" t="s">
        <v>75</v>
      </c>
      <c r="AF9" s="37" t="s">
        <v>75</v>
      </c>
      <c r="AG9" s="68" t="s">
        <v>119</v>
      </c>
      <c r="AH9" s="37" t="s">
        <v>77</v>
      </c>
      <c r="AI9" s="43" t="s">
        <v>58</v>
      </c>
    </row>
    <row r="10" spans="3:35" x14ac:dyDescent="0.4">
      <c r="C10" s="61" t="s">
        <v>85</v>
      </c>
      <c r="D10" s="62" t="s">
        <v>69</v>
      </c>
      <c r="E10" s="62" t="s">
        <v>70</v>
      </c>
      <c r="F10" s="62" t="s">
        <v>80</v>
      </c>
      <c r="G10" s="62" t="s">
        <v>71</v>
      </c>
      <c r="H10" s="63" t="s">
        <v>72</v>
      </c>
      <c r="I10" s="79"/>
      <c r="K10" s="58" t="s">
        <v>90</v>
      </c>
      <c r="L10" s="59" t="s">
        <v>92</v>
      </c>
      <c r="M10" s="60" t="s">
        <v>97</v>
      </c>
      <c r="O10" s="58" t="s">
        <v>102</v>
      </c>
      <c r="P10" s="59" t="s">
        <v>104</v>
      </c>
      <c r="Q10" s="59" t="s">
        <v>105</v>
      </c>
      <c r="R10" s="59" t="s">
        <v>106</v>
      </c>
      <c r="S10" s="59" t="s">
        <v>107</v>
      </c>
      <c r="T10" s="59" t="s">
        <v>108</v>
      </c>
      <c r="U10" s="59" t="s">
        <v>109</v>
      </c>
      <c r="V10" s="59" t="s">
        <v>110</v>
      </c>
      <c r="W10" s="59" t="s">
        <v>111</v>
      </c>
      <c r="X10" s="59" t="s">
        <v>112</v>
      </c>
      <c r="Y10" s="60" t="s">
        <v>113</v>
      </c>
      <c r="AA10" s="99"/>
      <c r="AB10" s="97"/>
      <c r="AC10" s="64"/>
      <c r="AD10" t="s">
        <v>36</v>
      </c>
      <c r="AE10" t="s">
        <v>78</v>
      </c>
      <c r="AF10" t="s">
        <v>47</v>
      </c>
      <c r="AG10" t="s">
        <v>79</v>
      </c>
      <c r="AH10" t="s">
        <v>49</v>
      </c>
      <c r="AI10" s="51" t="s">
        <v>56</v>
      </c>
    </row>
    <row r="11" spans="3:35" x14ac:dyDescent="0.4">
      <c r="C11" s="44">
        <v>1</v>
      </c>
      <c r="D11" t="s">
        <v>74</v>
      </c>
      <c r="E11" t="s">
        <v>36</v>
      </c>
      <c r="F11" t="s">
        <v>81</v>
      </c>
      <c r="G11" s="45">
        <v>2497</v>
      </c>
      <c r="H11" s="46">
        <v>45712</v>
      </c>
      <c r="I11" s="80"/>
      <c r="K11" s="95" t="s">
        <v>91</v>
      </c>
      <c r="L11" s="1" t="s">
        <v>93</v>
      </c>
      <c r="M11" s="56" t="s">
        <v>98</v>
      </c>
      <c r="O11" s="47" t="s">
        <v>103</v>
      </c>
      <c r="P11" s="65">
        <v>0.05</v>
      </c>
      <c r="Q11" s="65">
        <v>0.1</v>
      </c>
      <c r="R11" s="65">
        <v>0.15</v>
      </c>
      <c r="S11" s="65">
        <v>0.2</v>
      </c>
      <c r="T11" s="65">
        <v>0.25</v>
      </c>
      <c r="U11" s="65">
        <v>0.3</v>
      </c>
      <c r="V11" s="65">
        <v>0.35</v>
      </c>
      <c r="W11" s="65">
        <v>0.4</v>
      </c>
      <c r="X11" s="65">
        <v>0.45</v>
      </c>
      <c r="Y11" s="66">
        <v>0.5</v>
      </c>
      <c r="AA11" s="44">
        <v>1</v>
      </c>
      <c r="AB11" t="s">
        <v>71</v>
      </c>
      <c r="AC11" t="s">
        <v>121</v>
      </c>
      <c r="AD11" s="67">
        <v>2497</v>
      </c>
      <c r="AE11">
        <v>180</v>
      </c>
      <c r="AF11">
        <v>180</v>
      </c>
      <c r="AG11" s="67">
        <v>1999</v>
      </c>
      <c r="AH11" s="67">
        <v>1591</v>
      </c>
      <c r="AI11" s="51">
        <v>110</v>
      </c>
    </row>
    <row r="12" spans="3:35" x14ac:dyDescent="0.4">
      <c r="C12" s="44">
        <v>2</v>
      </c>
      <c r="D12" t="s">
        <v>75</v>
      </c>
      <c r="E12" t="s">
        <v>78</v>
      </c>
      <c r="F12" t="s">
        <v>82</v>
      </c>
      <c r="G12" s="45">
        <v>180</v>
      </c>
      <c r="H12" s="46">
        <v>43727</v>
      </c>
      <c r="I12" s="80"/>
      <c r="K12" s="95"/>
      <c r="L12" s="1" t="s">
        <v>94</v>
      </c>
      <c r="M12" s="56" t="s">
        <v>99</v>
      </c>
      <c r="AA12" s="44">
        <v>2</v>
      </c>
      <c r="AB12" t="s">
        <v>115</v>
      </c>
      <c r="AC12" t="s">
        <v>122</v>
      </c>
      <c r="AD12">
        <v>200</v>
      </c>
      <c r="AG12">
        <v>200</v>
      </c>
      <c r="AH12">
        <v>140</v>
      </c>
      <c r="AI12" s="51"/>
    </row>
    <row r="13" spans="3:35" x14ac:dyDescent="0.4">
      <c r="C13" s="44">
        <v>3</v>
      </c>
      <c r="D13" t="s">
        <v>75</v>
      </c>
      <c r="E13" t="s">
        <v>47</v>
      </c>
      <c r="F13" t="s">
        <v>83</v>
      </c>
      <c r="G13" s="45">
        <v>180</v>
      </c>
      <c r="H13" s="46">
        <v>44090</v>
      </c>
      <c r="I13" s="80"/>
      <c r="K13" s="95"/>
      <c r="L13" s="1" t="s">
        <v>95</v>
      </c>
      <c r="M13" s="56" t="s">
        <v>100</v>
      </c>
      <c r="AA13" s="44">
        <v>3</v>
      </c>
      <c r="AB13" t="s">
        <v>116</v>
      </c>
      <c r="AC13" t="s">
        <v>123</v>
      </c>
      <c r="AD13" s="45">
        <f>AD11*AD12</f>
        <v>499400</v>
      </c>
      <c r="AE13" s="45">
        <v>100000</v>
      </c>
      <c r="AF13" s="45">
        <v>100000</v>
      </c>
      <c r="AG13" s="45">
        <f t="shared" ref="AG13:AH13" si="0">AG11*AG12</f>
        <v>399800</v>
      </c>
      <c r="AH13" s="45">
        <f t="shared" si="0"/>
        <v>222740</v>
      </c>
      <c r="AI13" s="51">
        <v>100000</v>
      </c>
    </row>
    <row r="14" spans="3:35" x14ac:dyDescent="0.4">
      <c r="C14" s="44">
        <v>4</v>
      </c>
      <c r="D14" t="s">
        <v>76</v>
      </c>
      <c r="E14" t="s">
        <v>79</v>
      </c>
      <c r="F14" t="s">
        <v>84</v>
      </c>
      <c r="G14" s="45">
        <v>1999</v>
      </c>
      <c r="H14" s="46">
        <v>44341</v>
      </c>
      <c r="I14" s="80"/>
      <c r="K14" s="91"/>
      <c r="L14" s="41" t="s">
        <v>96</v>
      </c>
      <c r="M14" s="57" t="s">
        <v>101</v>
      </c>
      <c r="AA14" s="44">
        <v>4</v>
      </c>
      <c r="AB14" t="s">
        <v>117</v>
      </c>
      <c r="AC14" t="s">
        <v>124</v>
      </c>
      <c r="AD14" s="69">
        <v>1</v>
      </c>
      <c r="AE14" s="69">
        <v>1</v>
      </c>
      <c r="AF14" s="69">
        <v>1</v>
      </c>
      <c r="AG14" s="69">
        <v>0.8</v>
      </c>
      <c r="AH14" s="69">
        <v>0.6</v>
      </c>
      <c r="AI14" s="70">
        <v>1</v>
      </c>
    </row>
    <row r="15" spans="3:35" x14ac:dyDescent="0.4">
      <c r="C15" s="44">
        <v>5</v>
      </c>
      <c r="D15" t="s">
        <v>77</v>
      </c>
      <c r="E15" t="s">
        <v>49</v>
      </c>
      <c r="F15" t="s">
        <v>81</v>
      </c>
      <c r="G15" s="45">
        <v>1591</v>
      </c>
      <c r="H15" s="46">
        <v>43052</v>
      </c>
      <c r="I15" s="80"/>
      <c r="AA15" s="44">
        <v>5</v>
      </c>
      <c r="AB15" t="s">
        <v>118</v>
      </c>
      <c r="AC15" t="s">
        <v>125</v>
      </c>
      <c r="AD15" s="45">
        <v>499400</v>
      </c>
      <c r="AE15" s="45">
        <v>100000</v>
      </c>
      <c r="AF15" s="39">
        <v>100000</v>
      </c>
      <c r="AG15" s="39">
        <f>399800*0.8</f>
        <v>319840</v>
      </c>
      <c r="AH15" s="39">
        <f>AH13*0.65</f>
        <v>144781</v>
      </c>
      <c r="AI15" s="53">
        <v>100000</v>
      </c>
    </row>
    <row r="16" spans="3:35" x14ac:dyDescent="0.4">
      <c r="C16" s="47">
        <v>6</v>
      </c>
      <c r="D16" s="48" t="s">
        <v>58</v>
      </c>
      <c r="E16" s="48" t="s">
        <v>56</v>
      </c>
      <c r="F16" s="48" t="s">
        <v>83</v>
      </c>
      <c r="G16" s="49">
        <v>111</v>
      </c>
      <c r="H16" s="50">
        <v>44364</v>
      </c>
      <c r="I16" s="80"/>
      <c r="AA16" s="44">
        <v>8</v>
      </c>
      <c r="AB16" t="s">
        <v>120</v>
      </c>
      <c r="AC16" t="s">
        <v>126</v>
      </c>
      <c r="AD16" s="69">
        <v>0.3</v>
      </c>
      <c r="AE16" s="69">
        <v>0.3</v>
      </c>
      <c r="AF16" s="69">
        <v>0.3</v>
      </c>
      <c r="AG16" s="69">
        <v>0.3</v>
      </c>
      <c r="AH16" s="69">
        <v>0.3</v>
      </c>
      <c r="AI16" s="70">
        <v>0.3</v>
      </c>
    </row>
    <row r="17" spans="3:35" x14ac:dyDescent="0.4">
      <c r="AA17" s="44">
        <v>9</v>
      </c>
      <c r="AB17" t="s">
        <v>130</v>
      </c>
      <c r="AC17" t="s">
        <v>127</v>
      </c>
      <c r="AD17" s="71">
        <f>AD15*0.3</f>
        <v>149820</v>
      </c>
      <c r="AE17" s="71">
        <v>30000</v>
      </c>
      <c r="AF17" s="71">
        <v>30000</v>
      </c>
      <c r="AG17" s="71">
        <f>AG15*0.3</f>
        <v>95952</v>
      </c>
      <c r="AH17" s="71">
        <f>AH15*0.3</f>
        <v>43434.299999999996</v>
      </c>
      <c r="AI17" s="72">
        <v>30000</v>
      </c>
    </row>
    <row r="18" spans="3:35" x14ac:dyDescent="0.4">
      <c r="AA18" s="44">
        <v>10</v>
      </c>
      <c r="AB18" t="s">
        <v>132</v>
      </c>
      <c r="AC18" t="s">
        <v>128</v>
      </c>
      <c r="AD18" s="74">
        <v>29710</v>
      </c>
      <c r="AE18" s="74">
        <v>5960</v>
      </c>
      <c r="AF18" s="74">
        <v>5960</v>
      </c>
      <c r="AG18" s="74">
        <v>19002</v>
      </c>
      <c r="AH18" s="74">
        <v>15525</v>
      </c>
      <c r="AI18" s="75">
        <v>5960</v>
      </c>
    </row>
    <row r="19" spans="3:35" x14ac:dyDescent="0.4">
      <c r="AA19" s="44">
        <v>11</v>
      </c>
      <c r="AB19" t="s">
        <v>131</v>
      </c>
      <c r="AC19" t="s">
        <v>129</v>
      </c>
      <c r="AD19" s="77">
        <f>AD15+AD17-AD18</f>
        <v>619510</v>
      </c>
      <c r="AE19" s="77">
        <f>AE15+AE17-AE18</f>
        <v>124040</v>
      </c>
      <c r="AF19" s="77">
        <f>AF15+AF17-AF18</f>
        <v>124040</v>
      </c>
      <c r="AG19" s="77">
        <f t="shared" ref="AG19:AH19" si="1">AG15+AG17-AG18</f>
        <v>396790</v>
      </c>
      <c r="AH19" s="77">
        <f t="shared" si="1"/>
        <v>172690.3</v>
      </c>
      <c r="AI19" s="78">
        <f>AI15+AI17-AI18</f>
        <v>124040</v>
      </c>
    </row>
    <row r="20" spans="3:35" x14ac:dyDescent="0.4">
      <c r="C20" s="61" t="s">
        <v>85</v>
      </c>
      <c r="D20" s="62" t="s">
        <v>69</v>
      </c>
      <c r="E20" s="62" t="s">
        <v>70</v>
      </c>
      <c r="F20" s="62" t="s">
        <v>87</v>
      </c>
      <c r="G20" s="62" t="s">
        <v>86</v>
      </c>
      <c r="H20" s="63" t="s">
        <v>88</v>
      </c>
      <c r="I20" s="79"/>
      <c r="AA20" s="37"/>
      <c r="AB20" s="37"/>
      <c r="AC20" s="37"/>
      <c r="AD20" s="37"/>
      <c r="AE20" s="37"/>
      <c r="AF20" s="37"/>
      <c r="AG20" s="37"/>
      <c r="AH20" s="37"/>
      <c r="AI20" s="37"/>
    </row>
    <row r="21" spans="3:35" x14ac:dyDescent="0.4">
      <c r="C21" s="44">
        <v>1</v>
      </c>
      <c r="D21" t="s">
        <v>74</v>
      </c>
      <c r="E21" t="s">
        <v>36</v>
      </c>
      <c r="F21" s="45">
        <v>476550</v>
      </c>
      <c r="G21" s="45">
        <v>142960</v>
      </c>
      <c r="H21" s="54">
        <f>F21+G21</f>
        <v>619510</v>
      </c>
      <c r="I21" s="45"/>
      <c r="AD21" s="73"/>
      <c r="AG21" s="73"/>
    </row>
    <row r="22" spans="3:35" x14ac:dyDescent="0.4">
      <c r="C22" s="44">
        <v>2</v>
      </c>
      <c r="D22" t="s">
        <v>75</v>
      </c>
      <c r="E22" t="s">
        <v>78</v>
      </c>
      <c r="F22" s="45">
        <v>95420</v>
      </c>
      <c r="G22" s="45">
        <v>28620</v>
      </c>
      <c r="H22" s="54">
        <f t="shared" ref="H22:H27" si="2">F22+G22</f>
        <v>124040</v>
      </c>
      <c r="I22" s="45"/>
      <c r="AD22" s="71"/>
      <c r="AE22" s="71"/>
      <c r="AF22" s="71"/>
      <c r="AG22" s="71"/>
      <c r="AH22" s="71"/>
    </row>
    <row r="23" spans="3:35" x14ac:dyDescent="0.4">
      <c r="C23" s="44">
        <v>3</v>
      </c>
      <c r="D23" t="s">
        <v>75</v>
      </c>
      <c r="E23" t="s">
        <v>47</v>
      </c>
      <c r="F23" s="45">
        <v>95420</v>
      </c>
      <c r="G23" s="45">
        <v>28620</v>
      </c>
      <c r="H23" s="54">
        <f t="shared" si="2"/>
        <v>124040</v>
      </c>
      <c r="I23" s="45"/>
      <c r="AH23" s="76"/>
    </row>
    <row r="24" spans="3:35" x14ac:dyDescent="0.4">
      <c r="C24" s="44">
        <v>4</v>
      </c>
      <c r="D24" t="s">
        <v>76</v>
      </c>
      <c r="E24" t="s">
        <v>79</v>
      </c>
      <c r="F24" s="45">
        <v>305200</v>
      </c>
      <c r="G24" s="45">
        <v>91560</v>
      </c>
      <c r="H24" s="54">
        <f t="shared" si="2"/>
        <v>396760</v>
      </c>
      <c r="I24" s="45"/>
      <c r="AH24" s="76"/>
    </row>
    <row r="25" spans="3:35" x14ac:dyDescent="0.4">
      <c r="C25" s="44">
        <v>5</v>
      </c>
      <c r="D25" t="s">
        <v>77</v>
      </c>
      <c r="E25" t="s">
        <v>49</v>
      </c>
      <c r="F25" s="45">
        <v>132840</v>
      </c>
      <c r="G25" s="45">
        <v>39850</v>
      </c>
      <c r="H25" s="54">
        <f t="shared" si="2"/>
        <v>172690</v>
      </c>
      <c r="I25" s="45"/>
    </row>
    <row r="26" spans="3:35" x14ac:dyDescent="0.4">
      <c r="C26" s="47">
        <v>6</v>
      </c>
      <c r="D26" s="48" t="s">
        <v>58</v>
      </c>
      <c r="E26" s="48" t="s">
        <v>56</v>
      </c>
      <c r="F26" s="49">
        <v>95420</v>
      </c>
      <c r="G26" s="49">
        <v>28620</v>
      </c>
      <c r="H26" s="54">
        <f t="shared" si="2"/>
        <v>124040</v>
      </c>
      <c r="I26" s="45"/>
    </row>
    <row r="27" spans="3:35" x14ac:dyDescent="0.4">
      <c r="C27" s="93" t="s">
        <v>89</v>
      </c>
      <c r="D27" s="94"/>
      <c r="E27" s="94"/>
      <c r="F27" s="49">
        <f>SUM(F21:F26)</f>
        <v>1200850</v>
      </c>
      <c r="G27" s="49">
        <f>SUM(G21:G26)</f>
        <v>360230</v>
      </c>
      <c r="H27" s="55">
        <f t="shared" si="2"/>
        <v>1561080</v>
      </c>
      <c r="I27" s="81"/>
    </row>
    <row r="30" spans="3:35" x14ac:dyDescent="0.4">
      <c r="C30" s="58" t="s">
        <v>85</v>
      </c>
      <c r="D30" s="59" t="s">
        <v>69</v>
      </c>
      <c r="E30" s="59" t="s">
        <v>70</v>
      </c>
      <c r="F30" s="59">
        <v>2024</v>
      </c>
      <c r="G30" s="59">
        <v>2025</v>
      </c>
      <c r="H30" s="59">
        <v>2026</v>
      </c>
      <c r="I30" s="59" t="s">
        <v>133</v>
      </c>
      <c r="J30" s="59" t="s">
        <v>134</v>
      </c>
      <c r="K30" s="63" t="s">
        <v>73</v>
      </c>
    </row>
    <row r="31" spans="3:35" x14ac:dyDescent="0.4">
      <c r="C31" s="38">
        <v>1</v>
      </c>
      <c r="D31" s="1" t="s">
        <v>74</v>
      </c>
      <c r="E31" s="1" t="s">
        <v>36</v>
      </c>
      <c r="F31" s="40"/>
      <c r="G31" s="40">
        <f>225880+324610</f>
        <v>550490</v>
      </c>
      <c r="H31" s="40">
        <v>619510</v>
      </c>
      <c r="I31" s="84" t="s">
        <v>149</v>
      </c>
      <c r="J31" s="83" t="s">
        <v>142</v>
      </c>
      <c r="K31" s="51" t="s">
        <v>146</v>
      </c>
    </row>
    <row r="32" spans="3:35" x14ac:dyDescent="0.4">
      <c r="C32" s="38">
        <v>2</v>
      </c>
      <c r="D32" s="1" t="s">
        <v>75</v>
      </c>
      <c r="E32" s="1" t="s">
        <v>78</v>
      </c>
      <c r="F32" s="40"/>
      <c r="G32" s="40">
        <v>75070</v>
      </c>
      <c r="H32" s="40">
        <v>124040</v>
      </c>
      <c r="I32" s="40" t="s">
        <v>135</v>
      </c>
      <c r="J32" s="1" t="s">
        <v>136</v>
      </c>
      <c r="K32" s="51" t="s">
        <v>147</v>
      </c>
    </row>
    <row r="33" spans="3:11" x14ac:dyDescent="0.4">
      <c r="C33" s="38">
        <v>3</v>
      </c>
      <c r="D33" s="1" t="s">
        <v>75</v>
      </c>
      <c r="E33" s="1" t="s">
        <v>47</v>
      </c>
      <c r="F33" s="40"/>
      <c r="G33" s="40">
        <v>121010</v>
      </c>
      <c r="H33" s="40">
        <v>124040</v>
      </c>
      <c r="I33" s="40" t="s">
        <v>143</v>
      </c>
      <c r="J33" s="1" t="s">
        <v>137</v>
      </c>
      <c r="K33" s="51" t="s">
        <v>148</v>
      </c>
    </row>
    <row r="34" spans="3:11" x14ac:dyDescent="0.4">
      <c r="C34" s="38">
        <v>4</v>
      </c>
      <c r="D34" s="1" t="s">
        <v>76</v>
      </c>
      <c r="E34" s="1" t="s">
        <v>79</v>
      </c>
      <c r="F34" s="40">
        <v>34680</v>
      </c>
      <c r="G34" s="40">
        <v>421560</v>
      </c>
      <c r="H34" s="40">
        <v>396760</v>
      </c>
      <c r="I34" s="40" t="s">
        <v>138</v>
      </c>
      <c r="J34" s="1" t="s">
        <v>139</v>
      </c>
      <c r="K34" s="51"/>
    </row>
    <row r="35" spans="3:11" x14ac:dyDescent="0.4">
      <c r="C35" s="38">
        <v>5</v>
      </c>
      <c r="D35" s="1" t="s">
        <v>77</v>
      </c>
      <c r="E35" s="1" t="s">
        <v>49</v>
      </c>
      <c r="F35" s="40">
        <v>200310</v>
      </c>
      <c r="G35" s="40">
        <v>186510</v>
      </c>
      <c r="H35" s="40">
        <v>172690</v>
      </c>
      <c r="I35" s="40" t="s">
        <v>140</v>
      </c>
      <c r="J35" s="1" t="s">
        <v>141</v>
      </c>
      <c r="K35" s="51"/>
    </row>
    <row r="36" spans="3:11" x14ac:dyDescent="0.4">
      <c r="C36" s="38">
        <v>6</v>
      </c>
      <c r="D36" s="1" t="s">
        <v>58</v>
      </c>
      <c r="E36" s="1" t="s">
        <v>56</v>
      </c>
      <c r="F36" s="40">
        <v>124040</v>
      </c>
      <c r="G36" s="40">
        <v>124040</v>
      </c>
      <c r="H36" s="40">
        <v>124040</v>
      </c>
      <c r="I36" s="40">
        <v>0</v>
      </c>
      <c r="J36" s="83">
        <v>0</v>
      </c>
      <c r="K36" s="51"/>
    </row>
    <row r="37" spans="3:11" x14ac:dyDescent="0.4">
      <c r="C37" s="91" t="s">
        <v>89</v>
      </c>
      <c r="D37" s="92"/>
      <c r="E37" s="92"/>
      <c r="F37" s="42">
        <f>SUM(F31:F36)</f>
        <v>359030</v>
      </c>
      <c r="G37" s="42">
        <f>SUM(G31:G36)</f>
        <v>1478680</v>
      </c>
      <c r="H37" s="82">
        <f t="shared" ref="H37" si="3">F37+G37</f>
        <v>1837710</v>
      </c>
      <c r="I37" s="82" t="s">
        <v>144</v>
      </c>
      <c r="J37" s="82" t="s">
        <v>145</v>
      </c>
      <c r="K37" s="52"/>
    </row>
  </sheetData>
  <mergeCells count="5">
    <mergeCell ref="C37:E37"/>
    <mergeCell ref="C27:E27"/>
    <mergeCell ref="K11:K14"/>
    <mergeCell ref="AB9:AB10"/>
    <mergeCell ref="AA9:AA10"/>
  </mergeCells>
  <phoneticPr fontId="3" type="noConversion"/>
  <pageMargins left="0.7" right="0.7" top="0.75" bottom="0.75" header="0.3" footer="0.3"/>
  <pageSetup paperSize="9" orientation="portrait" verticalDpi="0" r:id="rId1"/>
  <ignoredErrors>
    <ignoredError sqref="F3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0"/>
  <sheetViews>
    <sheetView workbookViewId="0">
      <selection activeCell="I12" sqref="I12"/>
    </sheetView>
  </sheetViews>
  <sheetFormatPr defaultRowHeight="17.399999999999999" x14ac:dyDescent="0.4"/>
  <cols>
    <col min="2" max="2" width="19.8984375" customWidth="1"/>
    <col min="3" max="3" width="8.59765625" customWidth="1"/>
    <col min="8" max="8" width="12" customWidth="1"/>
  </cols>
  <sheetData>
    <row r="2" spans="2:10" x14ac:dyDescent="0.4">
      <c r="B2" s="6" t="s">
        <v>31</v>
      </c>
      <c r="C2" s="2"/>
      <c r="D2" s="6" t="s">
        <v>2</v>
      </c>
      <c r="E2" s="2"/>
      <c r="F2" s="7" t="s">
        <v>6</v>
      </c>
      <c r="H2" s="6" t="s">
        <v>20</v>
      </c>
      <c r="I2" s="2"/>
      <c r="J2" s="6" t="s">
        <v>32</v>
      </c>
    </row>
    <row r="3" spans="2:10" x14ac:dyDescent="0.4">
      <c r="B3" s="4" t="s">
        <v>30</v>
      </c>
      <c r="D3" s="5" t="s">
        <v>3</v>
      </c>
      <c r="E3" s="1"/>
      <c r="F3" s="4" t="s">
        <v>7</v>
      </c>
      <c r="H3" s="4" t="s">
        <v>25</v>
      </c>
      <c r="J3" s="4" t="s">
        <v>26</v>
      </c>
    </row>
    <row r="4" spans="2:10" x14ac:dyDescent="0.4">
      <c r="B4" s="4" t="s">
        <v>33</v>
      </c>
      <c r="D4" s="5" t="s">
        <v>4</v>
      </c>
      <c r="E4" s="1"/>
      <c r="F4" s="4" t="s">
        <v>8</v>
      </c>
      <c r="H4" s="4" t="s">
        <v>16</v>
      </c>
      <c r="J4" s="4" t="s">
        <v>28</v>
      </c>
    </row>
    <row r="5" spans="2:10" x14ac:dyDescent="0.4">
      <c r="B5" s="4"/>
      <c r="D5" s="5" t="s">
        <v>5</v>
      </c>
      <c r="E5" s="1"/>
      <c r="F5" s="4" t="s">
        <v>9</v>
      </c>
      <c r="H5" s="4" t="s">
        <v>17</v>
      </c>
      <c r="J5" s="4" t="s">
        <v>27</v>
      </c>
    </row>
    <row r="6" spans="2:10" x14ac:dyDescent="0.4">
      <c r="B6" s="4"/>
      <c r="D6" s="5" t="s">
        <v>14</v>
      </c>
      <c r="F6" s="4" t="s">
        <v>12</v>
      </c>
      <c r="H6" s="4" t="s">
        <v>18</v>
      </c>
      <c r="J6" s="4" t="s">
        <v>15</v>
      </c>
    </row>
    <row r="7" spans="2:10" x14ac:dyDescent="0.4">
      <c r="B7" s="4"/>
      <c r="F7" s="4" t="s">
        <v>13</v>
      </c>
      <c r="H7" s="4" t="s">
        <v>19</v>
      </c>
      <c r="J7" s="4" t="s">
        <v>29</v>
      </c>
    </row>
    <row r="8" spans="2:10" x14ac:dyDescent="0.4">
      <c r="B8" s="4"/>
      <c r="F8" s="4" t="s">
        <v>10</v>
      </c>
      <c r="H8" s="4" t="s">
        <v>63</v>
      </c>
      <c r="J8" s="4"/>
    </row>
    <row r="9" spans="2:10" x14ac:dyDescent="0.4">
      <c r="B9" s="4"/>
      <c r="F9" s="4" t="s">
        <v>11</v>
      </c>
    </row>
    <row r="10" spans="2:10" x14ac:dyDescent="0.4">
      <c r="B10" s="4"/>
      <c r="F10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법인차량현황</vt:lpstr>
      <vt:lpstr>정비이력</vt:lpstr>
      <vt:lpstr>Sheet1</vt:lpstr>
      <vt:lpstr>분류항목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윤재 홍</cp:lastModifiedBy>
  <dcterms:created xsi:type="dcterms:W3CDTF">2023-06-16T02:39:32Z</dcterms:created>
  <dcterms:modified xsi:type="dcterms:W3CDTF">2026-06-15T06:27:02Z</dcterms:modified>
</cp:coreProperties>
</file>