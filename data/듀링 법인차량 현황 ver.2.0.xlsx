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Desktop\during-car-qr-main\during-car-qr-main\data\"/>
    </mc:Choice>
  </mc:AlternateContent>
  <xr:revisionPtr revIDLastSave="0" documentId="13_ncr:1_{C1C601CD-2844-4AC5-94D9-C76EEBCAF0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H37" i="4" l="1"/>
  <c r="AI19" i="4"/>
  <c r="AF19" i="4"/>
  <c r="AE19" i="4"/>
  <c r="AG17" i="4"/>
  <c r="AG19" i="4" s="1"/>
  <c r="AD17" i="4"/>
  <c r="AD19" i="4" s="1"/>
  <c r="AG13" i="4"/>
  <c r="AH13" i="4"/>
  <c r="AH15" i="4" s="1"/>
  <c r="AH17" i="4" s="1"/>
  <c r="AH19" i="4" s="1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<sst xmlns="http://schemas.openxmlformats.org/spreadsheetml/2006/main" count="332" uniqueCount="236">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</sst>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41" fontId="0" fillId="0" borderId="0" xfId="1" applyFont="1" applyBorder="1">
      <alignment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0" xfId="0" applyFill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>
      <alignment vertical="center"/>
    </xf>
    <xf numFmtId="0" fontId="9" fillId="0" borderId="8" xfId="0" applyFont="1" applyBorder="1">
      <alignment vertical="center"/>
    </xf>
    <xf numFmtId="9" fontId="0" fillId="0" borderId="0" xfId="0" applyNumberFormat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>
      <alignment vertical="center"/>
    </xf>
    <xf numFmtId="178" fontId="2" fillId="0" borderId="0" xfId="0" applyNumberFormat="1" applyFont="1">
      <alignment vertical="center"/>
    </xf>
    <xf numFmtId="178" fontId="2" fillId="0" borderId="11" xfId="0" applyNumberFormat="1" applyFont="1" applyBorder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>
      <alignment vertical="center"/>
    </xf>
    <xf numFmtId="41" fontId="4" fillId="0" borderId="14" xfId="0" applyNumberFormat="1" applyFont="1" applyBorder="1">
      <alignment vertical="center"/>
    </xf>
    <xf numFmtId="0" fontId="0" fillId="5" borderId="0" xfId="0" applyFill="1">
      <alignment vertical="center"/>
    </xf>
    <xf numFmtId="14" fontId="0" fillId="0" borderId="0" xfId="0" applyNumberFormat="1">
      <alignment vertical="center"/>
    </xf>
    <xf numFmtId="41" fontId="4" fillId="0" borderId="0" xfId="1" applyFont="1" applyBorder="1" applyAlignment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5" xfId="0" applyNumberFormat="1" applyFont="1" applyBorder="1">
      <alignment vertical="center"/>
    </xf>
    <xf numFmtId="179" fontId="7" fillId="0" borderId="1" xfId="0" applyNumberFormat="1" applyFont="1" applyBorder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8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17"/>
  <sheetViews>
    <sheetView tabSelected="1"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D16" sqref="D16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23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89">
        <v>1957670</v>
      </c>
      <c r="O2" s="15"/>
    </row>
    <row r="3" spans="1:15" x14ac:dyDescent="0.4">
      <c r="A3" s="14">
        <f t="shared" ref="A3:A17" si="0">ROW()-1</f>
        <v>2</v>
      </c>
      <c r="B3" s="23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23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29">
        <v>46520</v>
      </c>
      <c r="K4" s="28">
        <v>46151</v>
      </c>
      <c r="L4" s="29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23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29">
        <v>46474</v>
      </c>
      <c r="K5" s="28">
        <v>46474</v>
      </c>
      <c r="L5" s="29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23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29">
        <v>46491</v>
      </c>
      <c r="K6" s="28">
        <v>46488</v>
      </c>
      <c r="L6" s="29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23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29">
        <v>46168</v>
      </c>
      <c r="K7" s="28">
        <v>46648</v>
      </c>
      <c r="L7" s="29"/>
      <c r="M7" s="30"/>
      <c r="O7" s="15"/>
    </row>
    <row r="8" spans="1:15" x14ac:dyDescent="0.4">
      <c r="A8" s="14">
        <f t="shared" si="0"/>
        <v>7</v>
      </c>
      <c r="B8" s="23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29">
        <v>46403</v>
      </c>
      <c r="K8" s="28">
        <v>46645</v>
      </c>
      <c r="L8" s="29"/>
      <c r="M8" s="30"/>
      <c r="O8" s="15"/>
    </row>
    <row r="9" spans="1:15" x14ac:dyDescent="0.4">
      <c r="A9" s="14">
        <f t="shared" si="0"/>
        <v>8</v>
      </c>
      <c r="B9" s="23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29">
        <v>46166</v>
      </c>
      <c r="K9" s="28">
        <v>46531</v>
      </c>
      <c r="L9" s="29"/>
      <c r="M9" s="30"/>
      <c r="O9" s="15"/>
    </row>
    <row r="10" spans="1:15" x14ac:dyDescent="0.4">
      <c r="A10" s="14">
        <f t="shared" si="0"/>
        <v>9</v>
      </c>
      <c r="B10" s="23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29">
        <v>46408</v>
      </c>
      <c r="K10" s="28">
        <v>46338</v>
      </c>
      <c r="L10" s="29"/>
      <c r="M10" s="30"/>
      <c r="O10" s="15"/>
    </row>
    <row r="11" spans="1:15" x14ac:dyDescent="0.4">
      <c r="A11" s="14">
        <f t="shared" si="0"/>
        <v>10</v>
      </c>
      <c r="B11" s="23" t="s">
        <v>162</v>
      </c>
      <c r="C11" s="35" t="s">
        <v>210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85">
        <v>46210</v>
      </c>
      <c r="K11" s="36">
        <v>46554</v>
      </c>
      <c r="L11" s="85"/>
      <c r="M11" s="90"/>
      <c r="O11" s="15"/>
    </row>
    <row r="12" spans="1:15" x14ac:dyDescent="0.4">
      <c r="A12" s="14">
        <f t="shared" si="0"/>
        <v>11</v>
      </c>
      <c r="B12" s="23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25">
        <v>46744</v>
      </c>
      <c r="K12" s="24">
        <v>46744</v>
      </c>
      <c r="L12" s="25">
        <v>46744</v>
      </c>
      <c r="M12" s="89">
        <v>763400</v>
      </c>
      <c r="O12" s="15"/>
    </row>
    <row r="13" spans="1:15" x14ac:dyDescent="0.4">
      <c r="A13" s="14">
        <f t="shared" si="0"/>
        <v>12</v>
      </c>
      <c r="B13" s="23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29">
        <v>47847</v>
      </c>
      <c r="K13" s="28">
        <v>46751</v>
      </c>
      <c r="L13" s="29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23" t="s">
        <v>227</v>
      </c>
      <c r="C14" s="88" t="s">
        <v>228</v>
      </c>
      <c r="D14" s="88" t="s">
        <v>229</v>
      </c>
      <c r="E14" s="18" t="s">
        <v>230</v>
      </c>
      <c r="F14" s="19" t="s">
        <v>232</v>
      </c>
      <c r="G14" s="26" t="s">
        <v>231</v>
      </c>
      <c r="H14" s="26" t="s">
        <v>233</v>
      </c>
      <c r="I14" s="18" t="s">
        <v>234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8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8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8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A2:B17 C14:D14 E14:E17">
    <cfRule type="expression" dxfId="7" priority="11">
      <formula>OR(#REF!="매각",#REF!="폐기",#REF!="계약종료")</formula>
    </cfRule>
    <cfRule type="expression" dxfId="6" priority="12">
      <formula>#REF!="YES"</formula>
    </cfRule>
  </conditionalFormatting>
  <conditionalFormatting sqref="F2:M17">
    <cfRule type="expression" dxfId="5" priority="1">
      <formula>OR(#REF!="매각",#REF!="폐기",#REF!="계약종료")</formula>
    </cfRule>
    <cfRule type="expression" dxfId="4" priority="2">
      <formula>#REF!="YES"</formula>
    </cfRule>
  </conditionalFormatting>
  <dataValidations count="1">
    <dataValidation type="list" allowBlank="1" showInputMessage="1" showErrorMessage="1" sqref="B15:B17" xr:uid="{00000000-0002-0000-0000-000000000000}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O93"/>
  <sheetViews>
    <sheetView zoomScale="85" zoomScaleNormal="85" workbookViewId="0">
      <selection activeCell="D17" sqref="D17:D19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86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86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87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87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87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87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87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87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87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87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22" t="s">
        <v>162</v>
      </c>
      <c r="C12" s="35" t="s">
        <v>210</v>
      </c>
      <c r="D12" s="8" t="s">
        <v>235</v>
      </c>
      <c r="E12" s="87">
        <v>175843</v>
      </c>
      <c r="F12" s="8" t="s">
        <v>61</v>
      </c>
      <c r="G12" s="9">
        <v>350000</v>
      </c>
      <c r="H12" s="8"/>
    </row>
    <row r="13" spans="1:8" x14ac:dyDescent="0.4">
      <c r="A13" s="10"/>
      <c r="B13" s="10"/>
      <c r="C13" s="8"/>
      <c r="D13" s="8"/>
      <c r="E13" s="87"/>
      <c r="F13" s="8"/>
      <c r="G13" s="9"/>
      <c r="H13" s="8"/>
    </row>
    <row r="14" spans="1:8" x14ac:dyDescent="0.4">
      <c r="A14" s="10"/>
      <c r="B14" s="10"/>
      <c r="C14" s="8"/>
      <c r="D14" s="8"/>
      <c r="E14" s="87"/>
      <c r="F14" s="8"/>
      <c r="G14" s="9"/>
      <c r="H14" s="8"/>
    </row>
    <row r="15" spans="1:8" x14ac:dyDescent="0.4">
      <c r="A15" s="10"/>
      <c r="B15" s="10"/>
      <c r="C15" s="8"/>
      <c r="D15" s="8"/>
      <c r="E15" s="87"/>
      <c r="F15" s="8"/>
      <c r="G15" s="9"/>
      <c r="H15" s="8"/>
    </row>
    <row r="16" spans="1:8" x14ac:dyDescent="0.4">
      <c r="A16" s="10"/>
      <c r="B16" s="10"/>
      <c r="C16" s="8"/>
      <c r="D16" s="8"/>
      <c r="E16" s="87"/>
      <c r="F16" s="8"/>
      <c r="G16" s="9"/>
      <c r="H16" s="8"/>
    </row>
    <row r="17" spans="1:8" x14ac:dyDescent="0.4">
      <c r="A17" s="10"/>
      <c r="B17" s="10"/>
      <c r="C17" s="8"/>
      <c r="D17" s="8"/>
      <c r="E17" s="87"/>
      <c r="F17" s="8"/>
      <c r="G17" s="9"/>
      <c r="H17" s="8"/>
    </row>
    <row r="18" spans="1:8" x14ac:dyDescent="0.4">
      <c r="A18" s="10"/>
      <c r="B18" s="10"/>
      <c r="C18" s="8"/>
      <c r="D18" s="8"/>
      <c r="E18" s="87"/>
      <c r="F18" s="8"/>
      <c r="G18" s="9"/>
      <c r="H18" s="8"/>
    </row>
    <row r="19" spans="1:8" x14ac:dyDescent="0.4">
      <c r="A19" s="10"/>
      <c r="B19" s="10"/>
      <c r="C19" s="8"/>
      <c r="D19" s="8"/>
      <c r="E19" s="87"/>
      <c r="F19" s="8"/>
      <c r="G19" s="9"/>
      <c r="H19" s="8"/>
    </row>
    <row r="20" spans="1:8" x14ac:dyDescent="0.4">
      <c r="A20" s="10"/>
      <c r="B20" s="10"/>
      <c r="C20" s="8"/>
      <c r="D20" s="8"/>
      <c r="E20" s="87"/>
      <c r="F20" s="8"/>
      <c r="G20" s="9"/>
      <c r="H20" s="8"/>
    </row>
    <row r="21" spans="1:8" x14ac:dyDescent="0.4">
      <c r="A21" s="10"/>
      <c r="B21" s="10"/>
      <c r="C21" s="8"/>
      <c r="D21" s="8"/>
      <c r="E21" s="87"/>
      <c r="F21" s="8"/>
      <c r="G21" s="9"/>
      <c r="H21" s="8"/>
    </row>
    <row r="22" spans="1:8" x14ac:dyDescent="0.4">
      <c r="A22" s="10"/>
      <c r="B22" s="10"/>
      <c r="C22" s="8"/>
      <c r="D22" s="8"/>
      <c r="E22" s="87"/>
      <c r="F22" s="8"/>
      <c r="G22" s="9"/>
      <c r="H22" s="8"/>
    </row>
    <row r="23" spans="1:8" x14ac:dyDescent="0.4">
      <c r="A23" s="10"/>
      <c r="B23" s="10"/>
      <c r="C23" s="8"/>
      <c r="D23" s="8"/>
      <c r="E23" s="87"/>
      <c r="F23" s="8"/>
      <c r="G23" s="9"/>
      <c r="H23" s="8"/>
    </row>
    <row r="24" spans="1:8" x14ac:dyDescent="0.4">
      <c r="A24" s="10"/>
      <c r="B24" s="10"/>
      <c r="C24" s="8"/>
      <c r="D24" s="8"/>
      <c r="E24" s="87"/>
      <c r="F24" s="8"/>
      <c r="G24" s="9"/>
      <c r="H24" s="8"/>
    </row>
    <row r="25" spans="1:8" x14ac:dyDescent="0.4">
      <c r="A25" s="10"/>
      <c r="B25" s="10"/>
      <c r="C25" s="8"/>
      <c r="D25" s="8"/>
      <c r="E25" s="87"/>
      <c r="F25" s="8"/>
      <c r="G25" s="9"/>
      <c r="H25" s="8"/>
    </row>
    <row r="26" spans="1:8" x14ac:dyDescent="0.4">
      <c r="A26" s="10"/>
      <c r="B26" s="10"/>
      <c r="C26" s="8"/>
      <c r="D26" s="8"/>
      <c r="E26" s="87"/>
      <c r="F26" s="8"/>
      <c r="G26" s="9"/>
      <c r="H26" s="8"/>
    </row>
    <row r="27" spans="1:8" x14ac:dyDescent="0.4">
      <c r="A27" s="10"/>
      <c r="B27" s="10"/>
      <c r="C27" s="8"/>
      <c r="D27" s="8"/>
      <c r="E27" s="87"/>
      <c r="F27" s="8"/>
      <c r="G27" s="9"/>
      <c r="H27" s="8"/>
    </row>
    <row r="28" spans="1:8" x14ac:dyDescent="0.4">
      <c r="A28" s="10"/>
      <c r="B28" s="10"/>
      <c r="C28" s="8"/>
      <c r="D28" s="8"/>
      <c r="E28" s="87"/>
      <c r="F28" s="8"/>
      <c r="G28" s="9"/>
      <c r="H28" s="8"/>
    </row>
    <row r="29" spans="1:8" x14ac:dyDescent="0.4">
      <c r="A29" s="10"/>
      <c r="B29" s="10"/>
      <c r="C29" s="8"/>
      <c r="D29" s="8"/>
      <c r="E29" s="87"/>
      <c r="F29" s="8"/>
      <c r="G29" s="9"/>
      <c r="H29" s="8"/>
    </row>
    <row r="30" spans="1:8" x14ac:dyDescent="0.4">
      <c r="A30" s="10"/>
      <c r="B30" s="10"/>
      <c r="C30" s="8"/>
      <c r="D30" s="8"/>
      <c r="E30" s="87"/>
      <c r="F30" s="8"/>
      <c r="G30" s="9"/>
      <c r="H30" s="8"/>
    </row>
    <row r="31" spans="1:8" x14ac:dyDescent="0.4">
      <c r="A31" s="10"/>
      <c r="B31" s="10"/>
      <c r="C31" s="8"/>
      <c r="D31" s="8"/>
      <c r="E31" s="87"/>
      <c r="F31" s="8"/>
      <c r="G31" s="9"/>
      <c r="H31" s="8"/>
    </row>
    <row r="32" spans="1:8" x14ac:dyDescent="0.4">
      <c r="A32" s="10"/>
      <c r="B32" s="10"/>
      <c r="C32" s="8"/>
      <c r="D32" s="8"/>
      <c r="E32" s="87"/>
      <c r="F32" s="8"/>
      <c r="G32" s="9"/>
      <c r="H32" s="8"/>
    </row>
    <row r="33" spans="1:8" x14ac:dyDescent="0.4">
      <c r="A33" s="10"/>
      <c r="B33" s="10"/>
      <c r="C33" s="8"/>
      <c r="D33" s="8"/>
      <c r="E33" s="87"/>
      <c r="F33" s="8"/>
      <c r="G33" s="9"/>
      <c r="H33" s="8"/>
    </row>
    <row r="34" spans="1:8" x14ac:dyDescent="0.4">
      <c r="A34" s="10"/>
      <c r="B34" s="10"/>
      <c r="C34" s="8"/>
      <c r="D34" s="8"/>
      <c r="E34" s="87"/>
      <c r="F34" s="8"/>
      <c r="G34" s="9"/>
      <c r="H34" s="8"/>
    </row>
    <row r="35" spans="1:8" x14ac:dyDescent="0.4">
      <c r="A35" s="10"/>
      <c r="B35" s="10"/>
      <c r="C35" s="8"/>
      <c r="D35" s="8"/>
      <c r="E35" s="87"/>
      <c r="F35" s="8"/>
      <c r="G35" s="9"/>
      <c r="H35" s="8"/>
    </row>
    <row r="36" spans="1:8" x14ac:dyDescent="0.4">
      <c r="A36" s="10"/>
      <c r="B36" s="10"/>
      <c r="C36" s="8"/>
      <c r="D36" s="8"/>
      <c r="E36" s="87"/>
      <c r="F36" s="8"/>
      <c r="G36" s="9"/>
      <c r="H36" s="8"/>
    </row>
    <row r="37" spans="1:8" x14ac:dyDescent="0.4">
      <c r="A37" s="10"/>
      <c r="B37" s="10"/>
      <c r="C37" s="8"/>
      <c r="D37" s="8"/>
      <c r="E37" s="87"/>
      <c r="F37" s="8"/>
      <c r="G37" s="9"/>
      <c r="H37" s="8"/>
    </row>
    <row r="38" spans="1:8" x14ac:dyDescent="0.4">
      <c r="A38" s="10"/>
      <c r="B38" s="10"/>
      <c r="C38" s="8"/>
      <c r="D38" s="8"/>
      <c r="E38" s="87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B12">
    <cfRule type="expression" dxfId="3" priority="1">
      <formula>OR(#REF!="매각",#REF!="폐기",#REF!="계약종료")</formula>
    </cfRule>
    <cfRule type="expression" dxfId="2" priority="2">
      <formula>#REF!="YES"</formula>
    </cfRule>
  </conditionalFormatting>
  <conditionalFormatting sqref="C11:C12">
    <cfRule type="expression" dxfId="1" priority="3">
      <formula>OR(#REF!="매각",#REF!="폐기",#REF!="계약종료")</formula>
    </cfRule>
    <cfRule type="expression" dxfId="0" priority="4">
      <formula>#REF!="YES"</formula>
    </cfRule>
  </conditionalFormatting>
  <dataValidations count="1">
    <dataValidation type="list" allowBlank="1" showInputMessage="1" showErrorMessage="1" sqref="C2:C10 C13:C92" xr:uid="{00000000-0002-0000-0100-000000000000}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98" t="s">
        <v>116</v>
      </c>
      <c r="AB9" s="96" t="s">
        <v>70</v>
      </c>
      <c r="AC9" s="59"/>
      <c r="AD9" s="37" t="s">
        <v>76</v>
      </c>
      <c r="AE9" s="37" t="s">
        <v>77</v>
      </c>
      <c r="AF9" s="37" t="s">
        <v>77</v>
      </c>
      <c r="AG9" s="68" t="s">
        <v>121</v>
      </c>
      <c r="AH9" s="37" t="s">
        <v>79</v>
      </c>
      <c r="AI9" s="43" t="s">
        <v>58</v>
      </c>
    </row>
    <row r="10" spans="3:35" x14ac:dyDescent="0.4">
      <c r="C10" s="61" t="s">
        <v>87</v>
      </c>
      <c r="D10" s="62" t="s">
        <v>71</v>
      </c>
      <c r="E10" s="62" t="s">
        <v>72</v>
      </c>
      <c r="F10" s="62" t="s">
        <v>82</v>
      </c>
      <c r="G10" s="62" t="s">
        <v>73</v>
      </c>
      <c r="H10" s="63" t="s">
        <v>74</v>
      </c>
      <c r="I10" s="79"/>
      <c r="K10" s="58" t="s">
        <v>92</v>
      </c>
      <c r="L10" s="59" t="s">
        <v>94</v>
      </c>
      <c r="M10" s="60" t="s">
        <v>99</v>
      </c>
      <c r="O10" s="58" t="s">
        <v>104</v>
      </c>
      <c r="P10" s="59" t="s">
        <v>106</v>
      </c>
      <c r="Q10" s="59" t="s">
        <v>107</v>
      </c>
      <c r="R10" s="59" t="s">
        <v>108</v>
      </c>
      <c r="S10" s="59" t="s">
        <v>109</v>
      </c>
      <c r="T10" s="59" t="s">
        <v>110</v>
      </c>
      <c r="U10" s="59" t="s">
        <v>111</v>
      </c>
      <c r="V10" s="59" t="s">
        <v>112</v>
      </c>
      <c r="W10" s="59" t="s">
        <v>113</v>
      </c>
      <c r="X10" s="59" t="s">
        <v>114</v>
      </c>
      <c r="Y10" s="60" t="s">
        <v>115</v>
      </c>
      <c r="AA10" s="99"/>
      <c r="AB10" s="97"/>
      <c r="AC10" s="64"/>
      <c r="AD10" t="s">
        <v>36</v>
      </c>
      <c r="AE10" t="s">
        <v>80</v>
      </c>
      <c r="AF10" t="s">
        <v>47</v>
      </c>
      <c r="AG10" t="s">
        <v>81</v>
      </c>
      <c r="AH10" t="s">
        <v>49</v>
      </c>
      <c r="AI10" s="51" t="s">
        <v>56</v>
      </c>
    </row>
    <row r="11" spans="3:35" x14ac:dyDescent="0.4">
      <c r="C11" s="44">
        <v>1</v>
      </c>
      <c r="D11" t="s">
        <v>76</v>
      </c>
      <c r="E11" t="s">
        <v>36</v>
      </c>
      <c r="F11" t="s">
        <v>83</v>
      </c>
      <c r="G11" s="45">
        <v>2497</v>
      </c>
      <c r="H11" s="46">
        <v>45712</v>
      </c>
      <c r="I11" s="80"/>
      <c r="K11" s="95" t="s">
        <v>93</v>
      </c>
      <c r="L11" s="1" t="s">
        <v>95</v>
      </c>
      <c r="M11" s="56" t="s">
        <v>100</v>
      </c>
      <c r="O11" s="47" t="s">
        <v>105</v>
      </c>
      <c r="P11" s="65">
        <v>0.05</v>
      </c>
      <c r="Q11" s="65">
        <v>0.1</v>
      </c>
      <c r="R11" s="65">
        <v>0.15</v>
      </c>
      <c r="S11" s="65">
        <v>0.2</v>
      </c>
      <c r="T11" s="65">
        <v>0.25</v>
      </c>
      <c r="U11" s="65">
        <v>0.3</v>
      </c>
      <c r="V11" s="65">
        <v>0.35</v>
      </c>
      <c r="W11" s="65">
        <v>0.4</v>
      </c>
      <c r="X11" s="65">
        <v>0.45</v>
      </c>
      <c r="Y11" s="66">
        <v>0.5</v>
      </c>
      <c r="AA11" s="44">
        <v>1</v>
      </c>
      <c r="AB11" t="s">
        <v>73</v>
      </c>
      <c r="AC11" t="s">
        <v>123</v>
      </c>
      <c r="AD11" s="67">
        <v>2497</v>
      </c>
      <c r="AE11">
        <v>180</v>
      </c>
      <c r="AF11">
        <v>180</v>
      </c>
      <c r="AG11" s="67">
        <v>1999</v>
      </c>
      <c r="AH11" s="67">
        <v>1591</v>
      </c>
      <c r="AI11" s="51">
        <v>110</v>
      </c>
    </row>
    <row r="12" spans="3:35" x14ac:dyDescent="0.4">
      <c r="C12" s="44">
        <v>2</v>
      </c>
      <c r="D12" t="s">
        <v>77</v>
      </c>
      <c r="E12" t="s">
        <v>80</v>
      </c>
      <c r="F12" t="s">
        <v>84</v>
      </c>
      <c r="G12" s="45">
        <v>180</v>
      </c>
      <c r="H12" s="46">
        <v>43727</v>
      </c>
      <c r="I12" s="80"/>
      <c r="K12" s="95"/>
      <c r="L12" s="1" t="s">
        <v>96</v>
      </c>
      <c r="M12" s="56" t="s">
        <v>101</v>
      </c>
      <c r="AA12" s="44">
        <v>2</v>
      </c>
      <c r="AB12" t="s">
        <v>117</v>
      </c>
      <c r="AC12" t="s">
        <v>124</v>
      </c>
      <c r="AD12">
        <v>200</v>
      </c>
      <c r="AG12">
        <v>200</v>
      </c>
      <c r="AH12">
        <v>140</v>
      </c>
      <c r="AI12" s="51"/>
    </row>
    <row r="13" spans="3:35" x14ac:dyDescent="0.4">
      <c r="C13" s="44">
        <v>3</v>
      </c>
      <c r="D13" t="s">
        <v>77</v>
      </c>
      <c r="E13" t="s">
        <v>47</v>
      </c>
      <c r="F13" t="s">
        <v>85</v>
      </c>
      <c r="G13" s="45">
        <v>180</v>
      </c>
      <c r="H13" s="46">
        <v>44090</v>
      </c>
      <c r="I13" s="80"/>
      <c r="K13" s="95"/>
      <c r="L13" s="1" t="s">
        <v>97</v>
      </c>
      <c r="M13" s="56" t="s">
        <v>102</v>
      </c>
      <c r="AA13" s="44">
        <v>3</v>
      </c>
      <c r="AB13" t="s">
        <v>118</v>
      </c>
      <c r="AC13" t="s">
        <v>125</v>
      </c>
      <c r="AD13" s="45">
        <f>AD11*AD12</f>
        <v>499400</v>
      </c>
      <c r="AE13" s="45">
        <v>100000</v>
      </c>
      <c r="AF13" s="45">
        <v>100000</v>
      </c>
      <c r="AG13" s="45">
        <f t="shared" ref="AG13:AH13" si="0">AG11*AG12</f>
        <v>399800</v>
      </c>
      <c r="AH13" s="45">
        <f t="shared" si="0"/>
        <v>222740</v>
      </c>
      <c r="AI13" s="51">
        <v>100000</v>
      </c>
    </row>
    <row r="14" spans="3:35" x14ac:dyDescent="0.4">
      <c r="C14" s="44">
        <v>4</v>
      </c>
      <c r="D14" t="s">
        <v>78</v>
      </c>
      <c r="E14" t="s">
        <v>81</v>
      </c>
      <c r="F14" t="s">
        <v>86</v>
      </c>
      <c r="G14" s="45">
        <v>1999</v>
      </c>
      <c r="H14" s="46">
        <v>44341</v>
      </c>
      <c r="I14" s="80"/>
      <c r="K14" s="91"/>
      <c r="L14" s="41" t="s">
        <v>98</v>
      </c>
      <c r="M14" s="57" t="s">
        <v>103</v>
      </c>
      <c r="AA14" s="44">
        <v>4</v>
      </c>
      <c r="AB14" t="s">
        <v>119</v>
      </c>
      <c r="AC14" t="s">
        <v>126</v>
      </c>
      <c r="AD14" s="69">
        <v>1</v>
      </c>
      <c r="AE14" s="69">
        <v>1</v>
      </c>
      <c r="AF14" s="69">
        <v>1</v>
      </c>
      <c r="AG14" s="69">
        <v>0.8</v>
      </c>
      <c r="AH14" s="69">
        <v>0.6</v>
      </c>
      <c r="AI14" s="70">
        <v>1</v>
      </c>
    </row>
    <row r="15" spans="3:35" x14ac:dyDescent="0.4">
      <c r="C15" s="44">
        <v>5</v>
      </c>
      <c r="D15" t="s">
        <v>79</v>
      </c>
      <c r="E15" t="s">
        <v>49</v>
      </c>
      <c r="F15" t="s">
        <v>83</v>
      </c>
      <c r="G15" s="45">
        <v>1591</v>
      </c>
      <c r="H15" s="46">
        <v>43052</v>
      </c>
      <c r="I15" s="80"/>
      <c r="AA15" s="44">
        <v>5</v>
      </c>
      <c r="AB15" t="s">
        <v>120</v>
      </c>
      <c r="AC15" t="s">
        <v>127</v>
      </c>
      <c r="AD15" s="45">
        <v>499400</v>
      </c>
      <c r="AE15" s="45">
        <v>100000</v>
      </c>
      <c r="AF15" s="39">
        <v>100000</v>
      </c>
      <c r="AG15" s="39">
        <f>399800*0.8</f>
        <v>319840</v>
      </c>
      <c r="AH15" s="39">
        <f>AH13*0.65</f>
        <v>144781</v>
      </c>
      <c r="AI15" s="53">
        <v>100000</v>
      </c>
    </row>
    <row r="16" spans="3:35" x14ac:dyDescent="0.4">
      <c r="C16" s="47">
        <v>6</v>
      </c>
      <c r="D16" s="48" t="s">
        <v>58</v>
      </c>
      <c r="E16" s="48" t="s">
        <v>56</v>
      </c>
      <c r="F16" s="48" t="s">
        <v>85</v>
      </c>
      <c r="G16" s="49">
        <v>111</v>
      </c>
      <c r="H16" s="50">
        <v>44364</v>
      </c>
      <c r="I16" s="80"/>
      <c r="AA16" s="44">
        <v>8</v>
      </c>
      <c r="AB16" t="s">
        <v>122</v>
      </c>
      <c r="AC16" t="s">
        <v>128</v>
      </c>
      <c r="AD16" s="69">
        <v>0.3</v>
      </c>
      <c r="AE16" s="69">
        <v>0.3</v>
      </c>
      <c r="AF16" s="69">
        <v>0.3</v>
      </c>
      <c r="AG16" s="69">
        <v>0.3</v>
      </c>
      <c r="AH16" s="69">
        <v>0.3</v>
      </c>
      <c r="AI16" s="70">
        <v>0.3</v>
      </c>
    </row>
    <row r="17" spans="3:35" x14ac:dyDescent="0.4">
      <c r="AA17" s="44">
        <v>9</v>
      </c>
      <c r="AB17" t="s">
        <v>132</v>
      </c>
      <c r="AC17" t="s">
        <v>129</v>
      </c>
      <c r="AD17" s="71">
        <f>AD15*0.3</f>
        <v>149820</v>
      </c>
      <c r="AE17" s="71">
        <v>30000</v>
      </c>
      <c r="AF17" s="71">
        <v>30000</v>
      </c>
      <c r="AG17" s="71">
        <f>AG15*0.3</f>
        <v>95952</v>
      </c>
      <c r="AH17" s="71">
        <f>AH15*0.3</f>
        <v>43434.299999999996</v>
      </c>
      <c r="AI17" s="72">
        <v>30000</v>
      </c>
    </row>
    <row r="18" spans="3:35" x14ac:dyDescent="0.4">
      <c r="AA18" s="44">
        <v>10</v>
      </c>
      <c r="AB18" t="s">
        <v>134</v>
      </c>
      <c r="AC18" t="s">
        <v>130</v>
      </c>
      <c r="AD18" s="74">
        <v>29710</v>
      </c>
      <c r="AE18" s="74">
        <v>5960</v>
      </c>
      <c r="AF18" s="74">
        <v>5960</v>
      </c>
      <c r="AG18" s="74">
        <v>19002</v>
      </c>
      <c r="AH18" s="74">
        <v>15525</v>
      </c>
      <c r="AI18" s="75">
        <v>5960</v>
      </c>
    </row>
    <row r="19" spans="3:35" x14ac:dyDescent="0.4">
      <c r="AA19" s="44">
        <v>11</v>
      </c>
      <c r="AB19" t="s">
        <v>133</v>
      </c>
      <c r="AC19" t="s">
        <v>131</v>
      </c>
      <c r="AD19" s="77">
        <f>AD15+AD17-AD18</f>
        <v>619510</v>
      </c>
      <c r="AE19" s="77">
        <f>AE15+AE17-AE18</f>
        <v>124040</v>
      </c>
      <c r="AF19" s="77">
        <f>AF15+AF17-AF18</f>
        <v>124040</v>
      </c>
      <c r="AG19" s="77">
        <f t="shared" ref="AG19:AH19" si="1">AG15+AG17-AG18</f>
        <v>396790</v>
      </c>
      <c r="AH19" s="77">
        <f t="shared" si="1"/>
        <v>172690.3</v>
      </c>
      <c r="AI19" s="78">
        <f>AI15+AI17-AI18</f>
        <v>124040</v>
      </c>
    </row>
    <row r="20" spans="3:35" x14ac:dyDescent="0.4">
      <c r="C20" s="61" t="s">
        <v>87</v>
      </c>
      <c r="D20" s="62" t="s">
        <v>71</v>
      </c>
      <c r="E20" s="62" t="s">
        <v>72</v>
      </c>
      <c r="F20" s="62" t="s">
        <v>89</v>
      </c>
      <c r="G20" s="62" t="s">
        <v>88</v>
      </c>
      <c r="H20" s="63" t="s">
        <v>90</v>
      </c>
      <c r="I20" s="79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4">
        <v>1</v>
      </c>
      <c r="D21" t="s">
        <v>76</v>
      </c>
      <c r="E21" t="s">
        <v>36</v>
      </c>
      <c r="F21" s="45">
        <v>476550</v>
      </c>
      <c r="G21" s="45">
        <v>142960</v>
      </c>
      <c r="H21" s="54">
        <f>F21+G21</f>
        <v>619510</v>
      </c>
      <c r="I21" s="45"/>
      <c r="AD21" s="73"/>
      <c r="AG21" s="73"/>
    </row>
    <row r="22" spans="3:35" x14ac:dyDescent="0.4">
      <c r="C22" s="44">
        <v>2</v>
      </c>
      <c r="D22" t="s">
        <v>77</v>
      </c>
      <c r="E22" t="s">
        <v>80</v>
      </c>
      <c r="F22" s="45">
        <v>95420</v>
      </c>
      <c r="G22" s="45">
        <v>28620</v>
      </c>
      <c r="H22" s="54">
        <f t="shared" ref="H22:H27" si="2">F22+G22</f>
        <v>124040</v>
      </c>
      <c r="I22" s="45"/>
      <c r="AD22" s="71"/>
      <c r="AE22" s="71"/>
      <c r="AF22" s="71"/>
      <c r="AG22" s="71"/>
      <c r="AH22" s="71"/>
    </row>
    <row r="23" spans="3:35" x14ac:dyDescent="0.4">
      <c r="C23" s="44">
        <v>3</v>
      </c>
      <c r="D23" t="s">
        <v>77</v>
      </c>
      <c r="E23" t="s">
        <v>47</v>
      </c>
      <c r="F23" s="45">
        <v>95420</v>
      </c>
      <c r="G23" s="45">
        <v>28620</v>
      </c>
      <c r="H23" s="54">
        <f t="shared" si="2"/>
        <v>124040</v>
      </c>
      <c r="I23" s="45"/>
      <c r="AH23" s="76"/>
    </row>
    <row r="24" spans="3:35" x14ac:dyDescent="0.4">
      <c r="C24" s="44">
        <v>4</v>
      </c>
      <c r="D24" t="s">
        <v>78</v>
      </c>
      <c r="E24" t="s">
        <v>81</v>
      </c>
      <c r="F24" s="45">
        <v>305200</v>
      </c>
      <c r="G24" s="45">
        <v>91560</v>
      </c>
      <c r="H24" s="54">
        <f t="shared" si="2"/>
        <v>396760</v>
      </c>
      <c r="I24" s="45"/>
      <c r="AH24" s="76"/>
    </row>
    <row r="25" spans="3:35" x14ac:dyDescent="0.4">
      <c r="C25" s="44">
        <v>5</v>
      </c>
      <c r="D25" t="s">
        <v>79</v>
      </c>
      <c r="E25" t="s">
        <v>49</v>
      </c>
      <c r="F25" s="45">
        <v>132840</v>
      </c>
      <c r="G25" s="45">
        <v>39850</v>
      </c>
      <c r="H25" s="54">
        <f t="shared" si="2"/>
        <v>172690</v>
      </c>
      <c r="I25" s="45"/>
    </row>
    <row r="26" spans="3:35" x14ac:dyDescent="0.4">
      <c r="C26" s="47">
        <v>6</v>
      </c>
      <c r="D26" s="48" t="s">
        <v>58</v>
      </c>
      <c r="E26" s="48" t="s">
        <v>56</v>
      </c>
      <c r="F26" s="49">
        <v>95420</v>
      </c>
      <c r="G26" s="49">
        <v>28620</v>
      </c>
      <c r="H26" s="54">
        <f t="shared" si="2"/>
        <v>124040</v>
      </c>
      <c r="I26" s="45"/>
    </row>
    <row r="27" spans="3:35" x14ac:dyDescent="0.4">
      <c r="C27" s="93" t="s">
        <v>91</v>
      </c>
      <c r="D27" s="94"/>
      <c r="E27" s="94"/>
      <c r="F27" s="49">
        <f>SUM(F21:F26)</f>
        <v>1200850</v>
      </c>
      <c r="G27" s="49">
        <f>SUM(G21:G26)</f>
        <v>360230</v>
      </c>
      <c r="H27" s="55">
        <f t="shared" si="2"/>
        <v>1561080</v>
      </c>
      <c r="I27" s="81"/>
    </row>
    <row r="30" spans="3:35" x14ac:dyDescent="0.4">
      <c r="C30" s="58" t="s">
        <v>87</v>
      </c>
      <c r="D30" s="59" t="s">
        <v>71</v>
      </c>
      <c r="E30" s="59" t="s">
        <v>72</v>
      </c>
      <c r="F30" s="59">
        <v>2024</v>
      </c>
      <c r="G30" s="59">
        <v>2025</v>
      </c>
      <c r="H30" s="59">
        <v>2026</v>
      </c>
      <c r="I30" s="59" t="s">
        <v>135</v>
      </c>
      <c r="J30" s="59" t="s">
        <v>136</v>
      </c>
      <c r="K30" s="63" t="s">
        <v>75</v>
      </c>
    </row>
    <row r="31" spans="3:35" x14ac:dyDescent="0.4">
      <c r="C31" s="38">
        <v>1</v>
      </c>
      <c r="D31" s="1" t="s">
        <v>76</v>
      </c>
      <c r="E31" s="1" t="s">
        <v>36</v>
      </c>
      <c r="F31" s="40"/>
      <c r="G31" s="40">
        <f>225880+324610</f>
        <v>550490</v>
      </c>
      <c r="H31" s="40">
        <v>619510</v>
      </c>
      <c r="I31" s="84" t="s">
        <v>151</v>
      </c>
      <c r="J31" s="83" t="s">
        <v>144</v>
      </c>
      <c r="K31" s="51" t="s">
        <v>148</v>
      </c>
    </row>
    <row r="32" spans="3:35" x14ac:dyDescent="0.4">
      <c r="C32" s="38">
        <v>2</v>
      </c>
      <c r="D32" s="1" t="s">
        <v>77</v>
      </c>
      <c r="E32" s="1" t="s">
        <v>80</v>
      </c>
      <c r="F32" s="40"/>
      <c r="G32" s="40">
        <v>75070</v>
      </c>
      <c r="H32" s="40">
        <v>124040</v>
      </c>
      <c r="I32" s="40" t="s">
        <v>137</v>
      </c>
      <c r="J32" s="1" t="s">
        <v>138</v>
      </c>
      <c r="K32" s="51" t="s">
        <v>149</v>
      </c>
    </row>
    <row r="33" spans="3:11" x14ac:dyDescent="0.4">
      <c r="C33" s="38">
        <v>3</v>
      </c>
      <c r="D33" s="1" t="s">
        <v>77</v>
      </c>
      <c r="E33" s="1" t="s">
        <v>47</v>
      </c>
      <c r="F33" s="40"/>
      <c r="G33" s="40">
        <v>121010</v>
      </c>
      <c r="H33" s="40">
        <v>124040</v>
      </c>
      <c r="I33" s="40" t="s">
        <v>145</v>
      </c>
      <c r="J33" s="1" t="s">
        <v>139</v>
      </c>
      <c r="K33" s="51" t="s">
        <v>150</v>
      </c>
    </row>
    <row r="34" spans="3:11" x14ac:dyDescent="0.4">
      <c r="C34" s="38">
        <v>4</v>
      </c>
      <c r="D34" s="1" t="s">
        <v>78</v>
      </c>
      <c r="E34" s="1" t="s">
        <v>81</v>
      </c>
      <c r="F34" s="40">
        <v>34680</v>
      </c>
      <c r="G34" s="40">
        <v>421560</v>
      </c>
      <c r="H34" s="40">
        <v>396760</v>
      </c>
      <c r="I34" s="40" t="s">
        <v>140</v>
      </c>
      <c r="J34" s="1" t="s">
        <v>141</v>
      </c>
      <c r="K34" s="51"/>
    </row>
    <row r="35" spans="3:11" x14ac:dyDescent="0.4">
      <c r="C35" s="38">
        <v>5</v>
      </c>
      <c r="D35" s="1" t="s">
        <v>79</v>
      </c>
      <c r="E35" s="1" t="s">
        <v>49</v>
      </c>
      <c r="F35" s="40">
        <v>200310</v>
      </c>
      <c r="G35" s="40">
        <v>186510</v>
      </c>
      <c r="H35" s="40">
        <v>172690</v>
      </c>
      <c r="I35" s="40" t="s">
        <v>142</v>
      </c>
      <c r="J35" s="1" t="s">
        <v>143</v>
      </c>
      <c r="K35" s="51"/>
    </row>
    <row r="36" spans="3:11" x14ac:dyDescent="0.4">
      <c r="C36" s="38">
        <v>6</v>
      </c>
      <c r="D36" s="1" t="s">
        <v>58</v>
      </c>
      <c r="E36" s="1" t="s">
        <v>56</v>
      </c>
      <c r="F36" s="40">
        <v>124040</v>
      </c>
      <c r="G36" s="40">
        <v>124040</v>
      </c>
      <c r="H36" s="40">
        <v>124040</v>
      </c>
      <c r="I36" s="40">
        <v>0</v>
      </c>
      <c r="J36" s="83">
        <v>0</v>
      </c>
      <c r="K36" s="51"/>
    </row>
    <row r="37" spans="3:11" x14ac:dyDescent="0.4">
      <c r="C37" s="91" t="s">
        <v>91</v>
      </c>
      <c r="D37" s="92"/>
      <c r="E37" s="92"/>
      <c r="F37" s="42">
        <f>SUM(F31:F36)</f>
        <v>359030</v>
      </c>
      <c r="G37" s="42">
        <f>SUM(G31:G36)</f>
        <v>1478680</v>
      </c>
      <c r="H37" s="82">
        <f t="shared" ref="H37" si="3">F37+G37</f>
        <v>1837710</v>
      </c>
      <c r="I37" s="82" t="s">
        <v>146</v>
      </c>
      <c r="J37" s="82" t="s">
        <v>147</v>
      </c>
      <c r="K37" s="52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홍 윤재</cp:lastModifiedBy>
  <dcterms:created xsi:type="dcterms:W3CDTF">2023-06-16T02:39:32Z</dcterms:created>
  <dcterms:modified xsi:type="dcterms:W3CDTF">2026-04-01T07:33:48Z</dcterms:modified>
</cp:coreProperties>
</file>