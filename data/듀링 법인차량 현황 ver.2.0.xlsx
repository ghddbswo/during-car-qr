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듀링_법인차량_QR앱패키지_ver2\during_car_qr_app_v2\data\"/>
    </mc:Choice>
  </mc:AlternateContent>
  <bookViews>
    <workbookView xWindow="0" yWindow="0" windowWidth="12444" windowHeight="10500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AH15" i="4"/>
  <c r="H37" i="4" l="1"/>
  <c r="AD19" i="4"/>
  <c r="AI19" i="4"/>
  <c r="AF19" i="4"/>
  <c r="AE19" i="4"/>
  <c r="AH17" i="4"/>
  <c r="AH19" i="4" s="1"/>
  <c r="AG17" i="4"/>
  <c r="AG19" i="4" s="1"/>
  <c r="AD17" i="4"/>
  <c r="AG13" i="4"/>
  <c r="AH13" i="4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<sst xmlns="http://schemas.openxmlformats.org/spreadsheetml/2006/main" count="328" uniqueCount="235">
  <si>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</si>
  <si>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</si>
  <si>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</si>
  <si>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</si>
  <si>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</si>
  <si>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</si>
  <si>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</si>
  <si>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</si>
  <si>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</si>
  <si>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</si>
  <si>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</si>
  <si>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</si>
  <si>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</si>
  <si>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</si>
  <si>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</si>
  <si>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</si>
  <si>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</si>
  <si>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</si>
  <si>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</si>
  <si>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</si>
  <si>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</si>
  <si>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</si>
  <si>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</si>
  <si>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</si>
  <si>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</si>
  <si>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</si>
  <si>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</si>
  <si>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</si>
  <si>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</si>
  <si>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</si>
  <si>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</si>
  <si>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</si>
  <si>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</si>
  <si>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</si>
  <si>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</si>
  <si>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</si>
  <si>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</si>
  <si>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</si>
  <si>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</si>
  <si>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</si>
  <si>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</si>
  <si>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</si>
  <si>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</si>
  <si>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</si>
  <si>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</si>
  <si>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</si>
  <si>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</si>
  <si>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</si>
  <si>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</si>
  <si>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</si>
  <si>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</si>
  <si>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</si>
  <si>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</si>
  <si>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</si>
  <si>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</si>
  <si>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</si>
  <si>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</si>
  <si>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</si>
  <si>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</si>
  <si>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</si>
  <si>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</si>
  <si>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</si>
  <si>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</si>
  <si>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</si>
  <si>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</si>
  <si>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</si>
  <si>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</si>
  <si>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</si>
  <si>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</si>
  <si>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</si>
  <si>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</si>
  <si>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</si>
  <si>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</si>
  <si>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</si>
  <si>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</si>
  <si>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</si>
  <si>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</si>
  <si>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</si>
  <si>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</si>
  <si>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</si>
  <si>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</si>
  <si>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</si>
  <si>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</si>
  <si>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</si>
  <si>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</si>
  <si>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</si>
  <si>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</si>
  <si>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</si>
  <si>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</si>
  <si>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</si>
  <si>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</si>
  <si>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</si>
  <si>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</si>
  <si>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</si>
  <si>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</si>
  <si>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</si>
  <si>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</si>
  <si>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</si>
  <si>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</si>
  <si>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</si>
  <si>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</si>
  <si>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</si>
  <si>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</si>
  <si>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</si>
  <si>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</si>
  <si>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</si>
  <si>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</si>
  <si>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</si>
  <si>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</si>
  <si>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</si>
  <si>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</si>
  <si>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</si>
  <si>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</si>
  <si>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</si>
  <si>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</si>
  <si>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</si>
  <si>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</si>
  <si>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</si>
  <si>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</si>
  <si>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</si>
  <si>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</si>
  <si>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</si>
  <si>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</si>
  <si>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</si>
  <si>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</si>
  <si>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</si>
  <si>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</si>
  <si>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</si>
  <si>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</si>
  <si>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</si>
  <si>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</si>
  <si>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</si>
  <si>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</si>
  <si>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</si>
  <si>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</si>
  <si>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</si>
  <si>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</si>
  <si>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</si>
  <si>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</si>
  <si>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</si>
  <si>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</si>
  <si>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</si>
  <si>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</si>
  <si>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</si>
  <si>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</si>
  <si>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</si>
  <si>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</si>
  <si>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</si>
  <si>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</si>
  <si>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</si>
  <si>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</si>
  <si>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</si>
  <si>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</si>
  <si>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</si>
  <si>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</si>
  <si>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</si>
  <si>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</si>
  <si>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</si>
  <si>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</si>
  <si>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</si>
  <si>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</si>
  <si>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</si>
  <si>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</si>
  <si>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</si>
  <si>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</si>
  <si>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</si>
  <si>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</si>
  <si>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</si>
  <si>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</si>
  <si>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</si>
  <si>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</si>
  <si>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</si>
  <si>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</si>
  <si>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</si>
  <si>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</si>
  <si>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</si>
  <si>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</si>
  <si>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</si>
  <si>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</si>
  <si>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</si>
  <si>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</si>
  <si>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</si>
  <si>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</si>
  <si>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</si>
  <si>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</si>
  <si>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</si>
  <si>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</si>
  <si>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</si>
  <si>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</si>
  <si>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</si>
  <si>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</si>
  <si>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</si>
  <si>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</si>
  <si>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</si>
  <si>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</si>
  <si>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1544-0114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</si>
  <si>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</si>
  <si>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</si>
  <si>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</si>
  <si>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</si>
  <si>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</si>
  <si>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</si>
  <si>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</si>
  <si>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</si>
  <si>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</si>
  <si>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</si>
  <si>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</si>
  <si>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</si>
  <si>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</si>
  <si>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</si>
  <si>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</si>
  <si>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</si>
  <si>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</si>
  <si>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</si>
  <si>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</si>
  <si>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</si>
  <si>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</si>
  <si>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</si>
  <si>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</si>
  <si>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</si>
  <si>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</si>
  <si>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</si>
  <si>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</si>
  <si>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</si>
  <si>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</si>
  <si>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</si>
  <si>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</si>
  <si>
    <t>DR-CAR-13</t>
  </si>
  <si>
    <t>205호1668</t>
    <phoneticPr fontId="3" type="noConversion"/>
  </si>
  <si>
    <t>소나타 하이브리드</t>
    <phoneticPr fontId="3" type="noConversion"/>
  </si>
  <si>
    <t>렌트</t>
    <phoneticPr fontId="3" type="noConversion"/>
  </si>
  <si>
    <t>이승민</t>
    <phoneticPr fontId="3" type="noConversion"/>
  </si>
  <si>
    <t>기술연구소</t>
    <phoneticPr fontId="3" type="noConversion"/>
  </si>
  <si>
    <t>우리금융캐피탈</t>
    <phoneticPr fontId="3" type="noConversion"/>
  </si>
  <si>
    <t>1544-8600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</si>
</sst>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>
      <alignment vertical="center"/>
    </xf>
    <xf numFmtId="41" fontId="0" fillId="0" borderId="0" xfId="1" applyFont="1" applyBorder="1">
      <alignment vertical="center"/>
    </xf>
    <xf numFmtId="0" fontId="0" fillId="0" borderId="0" xfId="0" applyBorder="1" applyAlignment="1">
      <alignment horizontal="center"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0" xfId="0" applyFill="1" applyBorder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 applyBorder="1" applyAlignment="1">
      <alignment vertical="center"/>
    </xf>
    <xf numFmtId="0" fontId="9" fillId="0" borderId="8" xfId="0" applyFont="1" applyBorder="1" applyAlignment="1">
      <alignment vertical="center"/>
    </xf>
    <xf numFmtId="3" fontId="0" fillId="0" borderId="0" xfId="0" applyNumberFormat="1" applyBorder="1">
      <alignment vertical="center"/>
    </xf>
    <xf numFmtId="9" fontId="0" fillId="0" borderId="0" xfId="0" applyNumberFormat="1" applyBorder="1" applyAlignment="1">
      <alignment vertical="center"/>
    </xf>
    <xf numFmtId="9" fontId="0" fillId="0" borderId="0" xfId="0" applyNumberFormat="1" applyBorder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 applyBorder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 applyBorder="1">
      <alignment vertical="center"/>
    </xf>
    <xf numFmtId="178" fontId="2" fillId="0" borderId="0" xfId="0" applyNumberFormat="1" applyFont="1" applyBorder="1">
      <alignment vertical="center"/>
    </xf>
    <xf numFmtId="178" fontId="2" fillId="0" borderId="11" xfId="0" applyNumberFormat="1" applyFont="1" applyBorder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 applyBorder="1">
      <alignment vertical="center"/>
    </xf>
    <xf numFmtId="41" fontId="4" fillId="0" borderId="14" xfId="0" applyNumberFormat="1" applyFont="1" applyBorder="1">
      <alignment vertical="center"/>
    </xf>
    <xf numFmtId="9" fontId="0" fillId="0" borderId="11" xfId="0" applyNumberFormat="1" applyBorder="1" applyAlignment="1">
      <alignment vertical="center"/>
    </xf>
    <xf numFmtId="0" fontId="0" fillId="5" borderId="0" xfId="0" applyFill="1" applyBorder="1" applyAlignment="1">
      <alignment vertical="center"/>
    </xf>
    <xf numFmtId="14" fontId="0" fillId="0" borderId="0" xfId="0" applyNumberFormat="1" applyBorder="1" applyAlignment="1">
      <alignment vertical="center"/>
    </xf>
    <xf numFmtId="41" fontId="4" fillId="0" borderId="0" xfId="1" applyFont="1" applyBorder="1" applyAlignment="1">
      <alignment vertical="center"/>
    </xf>
    <xf numFmtId="0" fontId="0" fillId="5" borderId="9" xfId="0" applyFill="1" applyBorder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5" xfId="0" applyNumberFormat="1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179" fontId="7" fillId="0" borderId="1" xfId="0" applyNumberFormat="1" applyFont="1" applyBorder="1">
      <alignment vertical="center"/>
    </xf>
    <xf numFmtId="0" fontId="7" fillId="0" borderId="4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79" fontId="0" fillId="0" borderId="1" xfId="0" applyNumberForma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7" fillId="0" borderId="17" xfId="0" applyFont="1" applyFill="1" applyBorder="1">
      <alignment vertical="center"/>
    </xf>
    <xf numFmtId="176" fontId="7" fillId="0" borderId="4" xfId="0" applyNumberFormat="1" applyFont="1" applyBorder="1">
      <alignment vertical="center"/>
    </xf>
    <xf numFmtId="176" fontId="7" fillId="0" borderId="5" xfId="0" applyNumberFormat="1" applyFont="1" applyBorder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10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O17"/>
  <sheetViews>
    <sheetView tabSelected="1"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J21" sqref="J21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102" t="s">
        <v>153</v>
      </c>
      <c r="C2" s="23" t="s">
        <v>201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115">
        <v>1957670</v>
      </c>
      <c r="O2" s="15"/>
    </row>
    <row r="3" spans="1:15" x14ac:dyDescent="0.4">
      <c r="A3" s="14">
        <f t="shared" ref="A3:A17" si="0">ROW()-1</f>
        <v>2</v>
      </c>
      <c r="B3" s="102" t="s">
        <v>154</v>
      </c>
      <c r="C3" s="18" t="s">
        <v>202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46040</v>
      </c>
      <c r="L3" s="29">
        <v>46408</v>
      </c>
      <c r="M3" s="30">
        <v>1921400</v>
      </c>
      <c r="O3" s="15"/>
    </row>
    <row r="4" spans="1:15" x14ac:dyDescent="0.4">
      <c r="A4" s="14">
        <f t="shared" si="0"/>
        <v>3</v>
      </c>
      <c r="B4" s="102" t="s">
        <v>155</v>
      </c>
      <c r="C4" s="18" t="s">
        <v>203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98">
        <v>46520</v>
      </c>
      <c r="K4" s="28">
        <v>46151</v>
      </c>
      <c r="L4" s="98">
        <v>46520</v>
      </c>
      <c r="M4" s="30">
        <v>838100</v>
      </c>
      <c r="O4" s="15"/>
    </row>
    <row r="5" spans="1:15" x14ac:dyDescent="0.4">
      <c r="A5" s="14">
        <f t="shared" si="0"/>
        <v>4</v>
      </c>
      <c r="B5" s="102" t="s">
        <v>156</v>
      </c>
      <c r="C5" s="18" t="s">
        <v>204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98">
        <v>46474</v>
      </c>
      <c r="K5" s="28">
        <v>46109</v>
      </c>
      <c r="L5" s="98">
        <v>46474</v>
      </c>
      <c r="M5" s="30">
        <v>928070</v>
      </c>
      <c r="O5" s="15"/>
    </row>
    <row r="6" spans="1:15" x14ac:dyDescent="0.4">
      <c r="A6" s="14">
        <f t="shared" si="0"/>
        <v>5</v>
      </c>
      <c r="B6" s="102" t="s">
        <v>157</v>
      </c>
      <c r="C6" s="18" t="s">
        <v>205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98">
        <v>46491</v>
      </c>
      <c r="K6" s="28">
        <v>46123</v>
      </c>
      <c r="L6" s="98">
        <v>46491</v>
      </c>
      <c r="M6" s="30">
        <v>835100</v>
      </c>
      <c r="O6" s="15"/>
    </row>
    <row r="7" spans="1:15" x14ac:dyDescent="0.4">
      <c r="A7" s="14">
        <f t="shared" si="0"/>
        <v>6</v>
      </c>
      <c r="B7" s="102" t="s">
        <v>158</v>
      </c>
      <c r="C7" s="18" t="s">
        <v>206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98">
        <v>46168</v>
      </c>
      <c r="K7" s="28">
        <v>46648</v>
      </c>
      <c r="L7" s="98"/>
      <c r="M7" s="30"/>
      <c r="O7" s="15"/>
    </row>
    <row r="8" spans="1:15" x14ac:dyDescent="0.4">
      <c r="A8" s="14">
        <f t="shared" si="0"/>
        <v>7</v>
      </c>
      <c r="B8" s="102" t="s">
        <v>159</v>
      </c>
      <c r="C8" s="18" t="s">
        <v>207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98">
        <v>46403</v>
      </c>
      <c r="K8" s="28">
        <v>46645</v>
      </c>
      <c r="L8" s="98"/>
      <c r="M8" s="30"/>
      <c r="O8" s="15"/>
    </row>
    <row r="9" spans="1:15" x14ac:dyDescent="0.4">
      <c r="A9" s="14">
        <f t="shared" si="0"/>
        <v>8</v>
      </c>
      <c r="B9" s="102" t="s">
        <v>160</v>
      </c>
      <c r="C9" s="18" t="s">
        <v>208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98">
        <v>46166</v>
      </c>
      <c r="K9" s="28">
        <v>46531</v>
      </c>
      <c r="L9" s="98"/>
      <c r="M9" s="30"/>
      <c r="O9" s="15"/>
    </row>
    <row r="10" spans="1:15" x14ac:dyDescent="0.4">
      <c r="A10" s="14">
        <f t="shared" si="0"/>
        <v>9</v>
      </c>
      <c r="B10" s="102" t="s">
        <v>161</v>
      </c>
      <c r="C10" s="18" t="s">
        <v>209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98">
        <v>46408</v>
      </c>
      <c r="K10" s="28">
        <v>46338</v>
      </c>
      <c r="L10" s="98"/>
      <c r="M10" s="30"/>
      <c r="O10" s="15"/>
    </row>
    <row r="11" spans="1:15" x14ac:dyDescent="0.4">
      <c r="A11" s="14">
        <f t="shared" si="0"/>
        <v>10</v>
      </c>
      <c r="B11" s="102" t="s">
        <v>162</v>
      </c>
      <c r="C11" s="35" t="s">
        <v>210</v>
      </c>
      <c r="D11" s="35" t="s">
        <v>58</v>
      </c>
      <c r="E11" s="19" t="s">
        <v>186</v>
      </c>
      <c r="F11" s="19" t="s">
        <v>59</v>
      </c>
      <c r="G11" s="31" t="s">
        <v>177</v>
      </c>
      <c r="H11" s="26" t="s">
        <v>48</v>
      </c>
      <c r="I11" s="23" t="s">
        <v>195</v>
      </c>
      <c r="J11" s="99">
        <v>46210</v>
      </c>
      <c r="K11" s="36">
        <v>46554</v>
      </c>
      <c r="L11" s="99"/>
      <c r="M11" s="116"/>
      <c r="O11" s="15"/>
    </row>
    <row r="12" spans="1:15" x14ac:dyDescent="0.4">
      <c r="A12" s="14">
        <f t="shared" si="0"/>
        <v>11</v>
      </c>
      <c r="B12" s="102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196</v>
      </c>
      <c r="J12" s="100">
        <v>46744</v>
      </c>
      <c r="K12" s="24">
        <v>46744</v>
      </c>
      <c r="L12" s="100">
        <v>46744</v>
      </c>
      <c r="M12" s="115">
        <v>763400</v>
      </c>
      <c r="O12" s="15"/>
    </row>
    <row r="13" spans="1:15" x14ac:dyDescent="0.4">
      <c r="A13" s="14">
        <f t="shared" si="0"/>
        <v>12</v>
      </c>
      <c r="B13" s="102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197</v>
      </c>
      <c r="J13" s="98">
        <v>47847</v>
      </c>
      <c r="K13" s="28">
        <v>46751</v>
      </c>
      <c r="L13" s="98">
        <v>47847</v>
      </c>
      <c r="M13" s="30">
        <v>988350</v>
      </c>
      <c r="O13" s="15"/>
    </row>
    <row r="14" spans="1:15" x14ac:dyDescent="0.4">
      <c r="A14" s="14">
        <f t="shared" si="0"/>
        <v>13</v>
      </c>
      <c r="B14" s="102" t="s">
        <v>227</v>
      </c>
      <c r="C14" s="114" t="s">
        <v>228</v>
      </c>
      <c r="D14" s="114" t="s">
        <v>229</v>
      </c>
      <c r="E14" s="18" t="s">
        <v>230</v>
      </c>
      <c r="F14" s="19" t="s">
        <v>232</v>
      </c>
      <c r="G14" s="26" t="s">
        <v>231</v>
      </c>
      <c r="H14" s="26" t="s">
        <v>233</v>
      </c>
      <c r="I14" s="103" t="s">
        <v>234</v>
      </c>
      <c r="J14" s="29">
        <v>47903</v>
      </c>
      <c r="K14" s="28">
        <v>46807</v>
      </c>
      <c r="L14" s="29">
        <v>47903</v>
      </c>
      <c r="M14" s="30">
        <v>593297</v>
      </c>
    </row>
    <row r="15" spans="1:15" x14ac:dyDescent="0.4">
      <c r="A15" s="14">
        <f t="shared" si="0"/>
        <v>14</v>
      </c>
      <c r="B15" s="103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03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03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C2:E13 F2:G17 E14:E17 A2:B17 C14:D14 J2:M17">
    <cfRule type="expression" dxfId="9" priority="11">
      <formula>OR(#REF!="매각",#REF!="폐기",#REF!="계약종료")</formula>
    </cfRule>
    <cfRule type="expression" dxfId="8" priority="12">
      <formula>#REF!="YES"</formula>
    </cfRule>
  </conditionalFormatting>
  <conditionalFormatting sqref="H15:I17">
    <cfRule type="expression" dxfId="7" priority="5">
      <formula>OR(#REF!="매각",#REF!="폐기",#REF!="계약종료")</formula>
    </cfRule>
    <cfRule type="expression" dxfId="6" priority="6">
      <formula>#REF!="YES"</formula>
    </cfRule>
  </conditionalFormatting>
  <conditionalFormatting sqref="H14:I14 H2:H13">
    <cfRule type="expression" dxfId="5" priority="3">
      <formula>OR(#REF!="매각",#REF!="폐기",#REF!="계약종료")</formula>
    </cfRule>
    <cfRule type="expression" dxfId="4" priority="4">
      <formula>#REF!="YES"</formula>
    </cfRule>
  </conditionalFormatting>
  <conditionalFormatting sqref="I2:I13">
    <cfRule type="expression" dxfId="3" priority="1">
      <formula>OR(#REF!="매각",#REF!="폐기",#REF!="계약종료")</formula>
    </cfRule>
    <cfRule type="expression" dxfId="2" priority="2">
      <formula>#REF!="YES"</formula>
    </cfRule>
  </conditionalFormatting>
  <dataValidations count="1">
    <dataValidation type="list" allowBlank="1" showInputMessage="1" showErrorMessage="1" sqref="B15:B17">
      <formula1>사업장명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O93"/>
  <sheetViews>
    <sheetView zoomScale="85" zoomScaleNormal="85" workbookViewId="0">
      <selection activeCell="C23" sqref="C23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198</v>
      </c>
      <c r="B1" s="20" t="s">
        <v>221</v>
      </c>
      <c r="C1" s="20" t="s">
        <v>21</v>
      </c>
      <c r="D1" s="20" t="s">
        <v>199</v>
      </c>
      <c r="E1" s="20" t="s">
        <v>22</v>
      </c>
      <c r="F1" s="20" t="s">
        <v>200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220</v>
      </c>
      <c r="C2" s="33" t="s">
        <v>211</v>
      </c>
      <c r="D2" s="33" t="s">
        <v>50</v>
      </c>
      <c r="E2" s="101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222</v>
      </c>
      <c r="C3" s="33" t="s">
        <v>212</v>
      </c>
      <c r="D3" s="33" t="s">
        <v>55</v>
      </c>
      <c r="E3" s="101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223</v>
      </c>
      <c r="C4" s="8" t="s">
        <v>213</v>
      </c>
      <c r="D4" s="8" t="s">
        <v>43</v>
      </c>
      <c r="E4" s="104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224</v>
      </c>
      <c r="C5" s="8" t="s">
        <v>214</v>
      </c>
      <c r="D5" s="8" t="s">
        <v>54</v>
      </c>
      <c r="E5" s="104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222</v>
      </c>
      <c r="C6" s="8" t="s">
        <v>215</v>
      </c>
      <c r="D6" s="8" t="s">
        <v>45</v>
      </c>
      <c r="E6" s="104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224</v>
      </c>
      <c r="C7" s="8" t="s">
        <v>216</v>
      </c>
      <c r="D7" s="8" t="s">
        <v>60</v>
      </c>
      <c r="E7" s="104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225</v>
      </c>
      <c r="C8" s="8" t="s">
        <v>217</v>
      </c>
      <c r="D8" s="8" t="s">
        <v>62</v>
      </c>
      <c r="E8" s="104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220</v>
      </c>
      <c r="C9" s="8" t="s">
        <v>211</v>
      </c>
      <c r="D9" s="8" t="s">
        <v>62</v>
      </c>
      <c r="E9" s="104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224</v>
      </c>
      <c r="C10" s="8" t="s">
        <v>218</v>
      </c>
      <c r="D10" s="8" t="s">
        <v>60</v>
      </c>
      <c r="E10" s="104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226</v>
      </c>
      <c r="C11" s="18" t="s">
        <v>219</v>
      </c>
      <c r="D11" s="8" t="s">
        <v>60</v>
      </c>
      <c r="E11" s="104">
        <v>68243</v>
      </c>
      <c r="F11" s="8" t="s">
        <v>61</v>
      </c>
      <c r="G11" s="9">
        <v>185200</v>
      </c>
      <c r="H11" s="8"/>
    </row>
    <row r="12" spans="1:8" x14ac:dyDescent="0.4">
      <c r="A12" s="10"/>
      <c r="B12" s="10"/>
      <c r="C12" s="8"/>
      <c r="D12" s="8"/>
      <c r="E12" s="104"/>
      <c r="F12" s="8"/>
      <c r="G12" s="9"/>
      <c r="H12" s="8"/>
    </row>
    <row r="13" spans="1:8" x14ac:dyDescent="0.4">
      <c r="A13" s="10"/>
      <c r="B13" s="10"/>
      <c r="C13" s="8"/>
      <c r="D13" s="8"/>
      <c r="E13" s="104"/>
      <c r="F13" s="8"/>
      <c r="G13" s="9"/>
      <c r="H13" s="8"/>
    </row>
    <row r="14" spans="1:8" x14ac:dyDescent="0.4">
      <c r="A14" s="10"/>
      <c r="B14" s="10"/>
      <c r="C14" s="8"/>
      <c r="D14" s="8"/>
      <c r="E14" s="104"/>
      <c r="F14" s="8"/>
      <c r="G14" s="9"/>
      <c r="H14" s="8"/>
    </row>
    <row r="15" spans="1:8" x14ac:dyDescent="0.4">
      <c r="A15" s="10"/>
      <c r="B15" s="10"/>
      <c r="C15" s="8"/>
      <c r="D15" s="8"/>
      <c r="E15" s="104"/>
      <c r="F15" s="8"/>
      <c r="G15" s="9"/>
      <c r="H15" s="8"/>
    </row>
    <row r="16" spans="1:8" x14ac:dyDescent="0.4">
      <c r="A16" s="10"/>
      <c r="B16" s="10"/>
      <c r="C16" s="8"/>
      <c r="D16" s="8"/>
      <c r="E16" s="104"/>
      <c r="F16" s="8"/>
      <c r="G16" s="9"/>
      <c r="H16" s="8"/>
    </row>
    <row r="17" spans="1:8" x14ac:dyDescent="0.4">
      <c r="A17" s="10"/>
      <c r="B17" s="10"/>
      <c r="C17" s="8"/>
      <c r="D17" s="8"/>
      <c r="E17" s="104"/>
      <c r="F17" s="8"/>
      <c r="G17" s="9"/>
      <c r="H17" s="8"/>
    </row>
    <row r="18" spans="1:8" x14ac:dyDescent="0.4">
      <c r="A18" s="10"/>
      <c r="B18" s="10"/>
      <c r="C18" s="8"/>
      <c r="D18" s="8"/>
      <c r="E18" s="104"/>
      <c r="F18" s="8"/>
      <c r="G18" s="9"/>
      <c r="H18" s="8"/>
    </row>
    <row r="19" spans="1:8" x14ac:dyDescent="0.4">
      <c r="A19" s="10"/>
      <c r="B19" s="10"/>
      <c r="C19" s="8"/>
      <c r="D19" s="8"/>
      <c r="E19" s="104"/>
      <c r="F19" s="8"/>
      <c r="G19" s="9"/>
      <c r="H19" s="8"/>
    </row>
    <row r="20" spans="1:8" x14ac:dyDescent="0.4">
      <c r="A20" s="10"/>
      <c r="B20" s="10"/>
      <c r="C20" s="8"/>
      <c r="D20" s="8"/>
      <c r="E20" s="104"/>
      <c r="F20" s="8"/>
      <c r="G20" s="9"/>
      <c r="H20" s="8"/>
    </row>
    <row r="21" spans="1:8" x14ac:dyDescent="0.4">
      <c r="A21" s="10"/>
      <c r="B21" s="10"/>
      <c r="C21" s="8"/>
      <c r="D21" s="8"/>
      <c r="E21" s="104"/>
      <c r="F21" s="8"/>
      <c r="G21" s="9"/>
      <c r="H21" s="8"/>
    </row>
    <row r="22" spans="1:8" x14ac:dyDescent="0.4">
      <c r="A22" s="10"/>
      <c r="B22" s="10"/>
      <c r="C22" s="8"/>
      <c r="D22" s="8"/>
      <c r="E22" s="104"/>
      <c r="F22" s="8"/>
      <c r="G22" s="9"/>
      <c r="H22" s="8"/>
    </row>
    <row r="23" spans="1:8" x14ac:dyDescent="0.4">
      <c r="A23" s="10"/>
      <c r="B23" s="10"/>
      <c r="C23" s="8"/>
      <c r="D23" s="8"/>
      <c r="E23" s="104"/>
      <c r="F23" s="8"/>
      <c r="G23" s="9"/>
      <c r="H23" s="8"/>
    </row>
    <row r="24" spans="1:8" x14ac:dyDescent="0.4">
      <c r="A24" s="10"/>
      <c r="B24" s="10"/>
      <c r="C24" s="8"/>
      <c r="D24" s="8"/>
      <c r="E24" s="104"/>
      <c r="F24" s="8"/>
      <c r="G24" s="9"/>
      <c r="H24" s="8"/>
    </row>
    <row r="25" spans="1:8" x14ac:dyDescent="0.4">
      <c r="A25" s="10"/>
      <c r="B25" s="10"/>
      <c r="C25" s="8"/>
      <c r="D25" s="8"/>
      <c r="E25" s="104"/>
      <c r="F25" s="8"/>
      <c r="G25" s="9"/>
      <c r="H25" s="8"/>
    </row>
    <row r="26" spans="1:8" x14ac:dyDescent="0.4">
      <c r="A26" s="10"/>
      <c r="B26" s="10"/>
      <c r="C26" s="8"/>
      <c r="D26" s="8"/>
      <c r="E26" s="104"/>
      <c r="F26" s="8"/>
      <c r="G26" s="9"/>
      <c r="H26" s="8"/>
    </row>
    <row r="27" spans="1:8" x14ac:dyDescent="0.4">
      <c r="A27" s="10"/>
      <c r="B27" s="10"/>
      <c r="C27" s="8"/>
      <c r="D27" s="8"/>
      <c r="E27" s="104"/>
      <c r="F27" s="8"/>
      <c r="G27" s="9"/>
      <c r="H27" s="8"/>
    </row>
    <row r="28" spans="1:8" x14ac:dyDescent="0.4">
      <c r="A28" s="10"/>
      <c r="B28" s="10"/>
      <c r="C28" s="8"/>
      <c r="D28" s="8"/>
      <c r="E28" s="104"/>
      <c r="F28" s="8"/>
      <c r="G28" s="9"/>
      <c r="H28" s="8"/>
    </row>
    <row r="29" spans="1:8" x14ac:dyDescent="0.4">
      <c r="A29" s="10"/>
      <c r="B29" s="10"/>
      <c r="C29" s="8"/>
      <c r="D29" s="8"/>
      <c r="E29" s="104"/>
      <c r="F29" s="8"/>
      <c r="G29" s="9"/>
      <c r="H29" s="8"/>
    </row>
    <row r="30" spans="1:8" x14ac:dyDescent="0.4">
      <c r="A30" s="10"/>
      <c r="B30" s="10"/>
      <c r="C30" s="8"/>
      <c r="D30" s="8"/>
      <c r="E30" s="104"/>
      <c r="F30" s="8"/>
      <c r="G30" s="9"/>
      <c r="H30" s="8"/>
    </row>
    <row r="31" spans="1:8" x14ac:dyDescent="0.4">
      <c r="A31" s="10"/>
      <c r="B31" s="10"/>
      <c r="C31" s="8"/>
      <c r="D31" s="8"/>
      <c r="E31" s="104"/>
      <c r="F31" s="8"/>
      <c r="G31" s="9"/>
      <c r="H31" s="8"/>
    </row>
    <row r="32" spans="1:8" x14ac:dyDescent="0.4">
      <c r="A32" s="10"/>
      <c r="B32" s="10"/>
      <c r="C32" s="8"/>
      <c r="D32" s="8"/>
      <c r="E32" s="104"/>
      <c r="F32" s="8"/>
      <c r="G32" s="9"/>
      <c r="H32" s="8"/>
    </row>
    <row r="33" spans="1:8" x14ac:dyDescent="0.4">
      <c r="A33" s="10"/>
      <c r="B33" s="10"/>
      <c r="C33" s="8"/>
      <c r="D33" s="8"/>
      <c r="E33" s="104"/>
      <c r="F33" s="8"/>
      <c r="G33" s="9"/>
      <c r="H33" s="8"/>
    </row>
    <row r="34" spans="1:8" x14ac:dyDescent="0.4">
      <c r="A34" s="10"/>
      <c r="B34" s="10"/>
      <c r="C34" s="8"/>
      <c r="D34" s="8"/>
      <c r="E34" s="104"/>
      <c r="F34" s="8"/>
      <c r="G34" s="9"/>
      <c r="H34" s="8"/>
    </row>
    <row r="35" spans="1:8" x14ac:dyDescent="0.4">
      <c r="A35" s="10"/>
      <c r="B35" s="10"/>
      <c r="C35" s="8"/>
      <c r="D35" s="8"/>
      <c r="E35" s="104"/>
      <c r="F35" s="8"/>
      <c r="G35" s="9"/>
      <c r="H35" s="8"/>
    </row>
    <row r="36" spans="1:8" x14ac:dyDescent="0.4">
      <c r="A36" s="10"/>
      <c r="B36" s="10"/>
      <c r="C36" s="8"/>
      <c r="D36" s="8"/>
      <c r="E36" s="104"/>
      <c r="F36" s="8"/>
      <c r="G36" s="9"/>
      <c r="H36" s="8"/>
    </row>
    <row r="37" spans="1:8" x14ac:dyDescent="0.4">
      <c r="A37" s="10"/>
      <c r="B37" s="10"/>
      <c r="C37" s="8"/>
      <c r="D37" s="8"/>
      <c r="E37" s="104"/>
      <c r="F37" s="8"/>
      <c r="G37" s="9"/>
      <c r="H37" s="8"/>
    </row>
    <row r="38" spans="1:8" x14ac:dyDescent="0.4">
      <c r="A38" s="10"/>
      <c r="B38" s="10"/>
      <c r="C38" s="8"/>
      <c r="D38" s="8"/>
      <c r="E38" s="104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C11">
    <cfRule type="expression" dxfId="1" priority="3">
      <formula>OR(#REF!="매각",#REF!="폐기",#REF!="계약종료")</formula>
    </cfRule>
    <cfRule type="expression" dxfId="0" priority="4">
      <formula>#REF!="YES"</formula>
    </cfRule>
  </conditionalFormatting>
  <dataValidations count="1">
    <dataValidation type="list" allowBlank="1" showInputMessage="1" showErrorMessage="1" sqref="C12:C92 C2:C10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112" t="s">
        <v>116</v>
      </c>
      <c r="AB9" s="110" t="s">
        <v>70</v>
      </c>
      <c r="AC9" s="67"/>
      <c r="AD9" s="45" t="s">
        <v>76</v>
      </c>
      <c r="AE9" s="45" t="s">
        <v>77</v>
      </c>
      <c r="AF9" s="45" t="s">
        <v>77</v>
      </c>
      <c r="AG9" s="76" t="s">
        <v>121</v>
      </c>
      <c r="AH9" s="45" t="s">
        <v>79</v>
      </c>
      <c r="AI9" s="46" t="s">
        <v>58</v>
      </c>
    </row>
    <row r="10" spans="3:35" x14ac:dyDescent="0.4">
      <c r="C10" s="69" t="s">
        <v>87</v>
      </c>
      <c r="D10" s="70" t="s">
        <v>71</v>
      </c>
      <c r="E10" s="70" t="s">
        <v>72</v>
      </c>
      <c r="F10" s="70" t="s">
        <v>82</v>
      </c>
      <c r="G10" s="70" t="s">
        <v>73</v>
      </c>
      <c r="H10" s="71" t="s">
        <v>74</v>
      </c>
      <c r="I10" s="91"/>
      <c r="K10" s="66" t="s">
        <v>92</v>
      </c>
      <c r="L10" s="67" t="s">
        <v>94</v>
      </c>
      <c r="M10" s="68" t="s">
        <v>99</v>
      </c>
      <c r="O10" s="66" t="s">
        <v>104</v>
      </c>
      <c r="P10" s="67" t="s">
        <v>106</v>
      </c>
      <c r="Q10" s="67" t="s">
        <v>107</v>
      </c>
      <c r="R10" s="67" t="s">
        <v>108</v>
      </c>
      <c r="S10" s="67" t="s">
        <v>109</v>
      </c>
      <c r="T10" s="67" t="s">
        <v>110</v>
      </c>
      <c r="U10" s="67" t="s">
        <v>111</v>
      </c>
      <c r="V10" s="67" t="s">
        <v>112</v>
      </c>
      <c r="W10" s="67" t="s">
        <v>113</v>
      </c>
      <c r="X10" s="67" t="s">
        <v>114</v>
      </c>
      <c r="Y10" s="68" t="s">
        <v>115</v>
      </c>
      <c r="AA10" s="113"/>
      <c r="AB10" s="111"/>
      <c r="AC10" s="72"/>
      <c r="AD10" s="48" t="s">
        <v>36</v>
      </c>
      <c r="AE10" s="48" t="s">
        <v>80</v>
      </c>
      <c r="AF10" s="48" t="s">
        <v>47</v>
      </c>
      <c r="AG10" s="48" t="s">
        <v>81</v>
      </c>
      <c r="AH10" s="48" t="s">
        <v>49</v>
      </c>
      <c r="AI10" s="56" t="s">
        <v>56</v>
      </c>
    </row>
    <row r="11" spans="3:35" x14ac:dyDescent="0.4">
      <c r="C11" s="47">
        <v>1</v>
      </c>
      <c r="D11" s="48" t="s">
        <v>76</v>
      </c>
      <c r="E11" s="48" t="s">
        <v>36</v>
      </c>
      <c r="F11" s="48" t="s">
        <v>83</v>
      </c>
      <c r="G11" s="49">
        <v>2497</v>
      </c>
      <c r="H11" s="50">
        <v>45712</v>
      </c>
      <c r="I11" s="92"/>
      <c r="K11" s="109" t="s">
        <v>93</v>
      </c>
      <c r="L11" s="41" t="s">
        <v>95</v>
      </c>
      <c r="M11" s="64" t="s">
        <v>100</v>
      </c>
      <c r="O11" s="59" t="s">
        <v>105</v>
      </c>
      <c r="P11" s="73">
        <v>0.05</v>
      </c>
      <c r="Q11" s="73">
        <v>0.1</v>
      </c>
      <c r="R11" s="73">
        <v>0.15</v>
      </c>
      <c r="S11" s="73">
        <v>0.2</v>
      </c>
      <c r="T11" s="73">
        <v>0.25</v>
      </c>
      <c r="U11" s="73">
        <v>0.3</v>
      </c>
      <c r="V11" s="73">
        <v>0.35</v>
      </c>
      <c r="W11" s="73">
        <v>0.4</v>
      </c>
      <c r="X11" s="73">
        <v>0.45</v>
      </c>
      <c r="Y11" s="74">
        <v>0.5</v>
      </c>
      <c r="AA11" s="57">
        <v>1</v>
      </c>
      <c r="AB11" s="39" t="s">
        <v>73</v>
      </c>
      <c r="AC11" s="39" t="s">
        <v>123</v>
      </c>
      <c r="AD11" s="75">
        <v>2497</v>
      </c>
      <c r="AE11" s="48">
        <v>180</v>
      </c>
      <c r="AF11" s="55">
        <v>180</v>
      </c>
      <c r="AG11" s="77">
        <v>1999</v>
      </c>
      <c r="AH11" s="77">
        <v>1591</v>
      </c>
      <c r="AI11" s="58">
        <v>110</v>
      </c>
    </row>
    <row r="12" spans="3:35" x14ac:dyDescent="0.4">
      <c r="C12" s="47">
        <v>2</v>
      </c>
      <c r="D12" s="48" t="s">
        <v>77</v>
      </c>
      <c r="E12" s="48" t="s">
        <v>80</v>
      </c>
      <c r="F12" s="48" t="s">
        <v>84</v>
      </c>
      <c r="G12" s="49">
        <v>180</v>
      </c>
      <c r="H12" s="50">
        <v>43727</v>
      </c>
      <c r="I12" s="92"/>
      <c r="K12" s="109"/>
      <c r="L12" s="41" t="s">
        <v>96</v>
      </c>
      <c r="M12" s="64" t="s">
        <v>101</v>
      </c>
      <c r="AA12" s="57">
        <v>2</v>
      </c>
      <c r="AB12" s="39" t="s">
        <v>117</v>
      </c>
      <c r="AC12" s="39" t="s">
        <v>124</v>
      </c>
      <c r="AD12" s="48">
        <v>200</v>
      </c>
      <c r="AE12" s="48"/>
      <c r="AF12" s="39"/>
      <c r="AG12" s="39">
        <v>200</v>
      </c>
      <c r="AH12" s="39">
        <v>140</v>
      </c>
      <c r="AI12" s="58"/>
    </row>
    <row r="13" spans="3:35" x14ac:dyDescent="0.4">
      <c r="C13" s="47">
        <v>3</v>
      </c>
      <c r="D13" s="48" t="s">
        <v>77</v>
      </c>
      <c r="E13" s="48" t="s">
        <v>47</v>
      </c>
      <c r="F13" s="48" t="s">
        <v>85</v>
      </c>
      <c r="G13" s="49">
        <v>180</v>
      </c>
      <c r="H13" s="50">
        <v>44090</v>
      </c>
      <c r="I13" s="92"/>
      <c r="K13" s="109"/>
      <c r="L13" s="41" t="s">
        <v>97</v>
      </c>
      <c r="M13" s="64" t="s">
        <v>102</v>
      </c>
      <c r="AA13" s="57">
        <v>3</v>
      </c>
      <c r="AB13" s="39" t="s">
        <v>118</v>
      </c>
      <c r="AC13" s="39" t="s">
        <v>125</v>
      </c>
      <c r="AD13" s="49">
        <f>AD11*AD12</f>
        <v>499400</v>
      </c>
      <c r="AE13" s="49">
        <v>100000</v>
      </c>
      <c r="AF13" s="49">
        <v>100000</v>
      </c>
      <c r="AG13" s="49">
        <f t="shared" ref="AG13:AH13" si="0">AG11*AG12</f>
        <v>399800</v>
      </c>
      <c r="AH13" s="49">
        <f t="shared" si="0"/>
        <v>222740</v>
      </c>
      <c r="AI13" s="58">
        <v>100000</v>
      </c>
    </row>
    <row r="14" spans="3:35" x14ac:dyDescent="0.4">
      <c r="C14" s="47">
        <v>4</v>
      </c>
      <c r="D14" s="48" t="s">
        <v>78</v>
      </c>
      <c r="E14" s="48" t="s">
        <v>81</v>
      </c>
      <c r="F14" s="48" t="s">
        <v>86</v>
      </c>
      <c r="G14" s="49">
        <v>1999</v>
      </c>
      <c r="H14" s="50">
        <v>44341</v>
      </c>
      <c r="I14" s="92"/>
      <c r="K14" s="105"/>
      <c r="L14" s="43" t="s">
        <v>98</v>
      </c>
      <c r="M14" s="65" t="s">
        <v>103</v>
      </c>
      <c r="AA14" s="57">
        <v>4</v>
      </c>
      <c r="AB14" s="39" t="s">
        <v>119</v>
      </c>
      <c r="AC14" s="39" t="s">
        <v>126</v>
      </c>
      <c r="AD14" s="78">
        <v>1</v>
      </c>
      <c r="AE14" s="78">
        <v>1</v>
      </c>
      <c r="AF14" s="78">
        <v>1</v>
      </c>
      <c r="AG14" s="79">
        <v>0.8</v>
      </c>
      <c r="AH14" s="79">
        <v>0.6</v>
      </c>
      <c r="AI14" s="90">
        <v>1</v>
      </c>
    </row>
    <row r="15" spans="3:35" x14ac:dyDescent="0.4">
      <c r="C15" s="47">
        <v>5</v>
      </c>
      <c r="D15" s="48" t="s">
        <v>79</v>
      </c>
      <c r="E15" s="48" t="s">
        <v>49</v>
      </c>
      <c r="F15" s="48" t="s">
        <v>83</v>
      </c>
      <c r="G15" s="49">
        <v>1591</v>
      </c>
      <c r="H15" s="50">
        <v>43052</v>
      </c>
      <c r="I15" s="92"/>
      <c r="AA15" s="57">
        <v>5</v>
      </c>
      <c r="AB15" s="39" t="s">
        <v>120</v>
      </c>
      <c r="AC15" s="39" t="s">
        <v>127</v>
      </c>
      <c r="AD15" s="49">
        <v>499400</v>
      </c>
      <c r="AE15" s="49">
        <v>100000</v>
      </c>
      <c r="AF15" s="40">
        <v>100000</v>
      </c>
      <c r="AG15" s="40">
        <f>399800*0.8</f>
        <v>319840</v>
      </c>
      <c r="AH15" s="40">
        <f>AH13*0.65</f>
        <v>144781</v>
      </c>
      <c r="AI15" s="61">
        <v>100000</v>
      </c>
    </row>
    <row r="16" spans="3:35" x14ac:dyDescent="0.4">
      <c r="C16" s="51">
        <v>6</v>
      </c>
      <c r="D16" s="52" t="s">
        <v>58</v>
      </c>
      <c r="E16" s="52" t="s">
        <v>56</v>
      </c>
      <c r="F16" s="52" t="s">
        <v>85</v>
      </c>
      <c r="G16" s="53">
        <v>111</v>
      </c>
      <c r="H16" s="54">
        <v>44364</v>
      </c>
      <c r="I16" s="92"/>
      <c r="AA16" s="57">
        <v>8</v>
      </c>
      <c r="AB16" s="39" t="s">
        <v>122</v>
      </c>
      <c r="AC16" s="39" t="s">
        <v>128</v>
      </c>
      <c r="AD16" s="79">
        <v>0.3</v>
      </c>
      <c r="AE16" s="79">
        <v>0.3</v>
      </c>
      <c r="AF16" s="79">
        <v>0.3</v>
      </c>
      <c r="AG16" s="79">
        <v>0.3</v>
      </c>
      <c r="AH16" s="79">
        <v>0.3</v>
      </c>
      <c r="AI16" s="80">
        <v>0.3</v>
      </c>
    </row>
    <row r="17" spans="3:35" x14ac:dyDescent="0.4">
      <c r="AA17" s="57">
        <v>9</v>
      </c>
      <c r="AB17" s="39" t="s">
        <v>132</v>
      </c>
      <c r="AC17" s="39" t="s">
        <v>129</v>
      </c>
      <c r="AD17" s="81">
        <f>AD15*0.3</f>
        <v>149820</v>
      </c>
      <c r="AE17" s="81">
        <v>30000</v>
      </c>
      <c r="AF17" s="81">
        <v>30000</v>
      </c>
      <c r="AG17" s="81">
        <f>AG15*0.3</f>
        <v>95952</v>
      </c>
      <c r="AH17" s="81">
        <f>AH15*0.3</f>
        <v>43434.299999999996</v>
      </c>
      <c r="AI17" s="82">
        <v>30000</v>
      </c>
    </row>
    <row r="18" spans="3:35" x14ac:dyDescent="0.4">
      <c r="AA18" s="57">
        <v>10</v>
      </c>
      <c r="AB18" s="39" t="s">
        <v>134</v>
      </c>
      <c r="AC18" s="39" t="s">
        <v>130</v>
      </c>
      <c r="AD18" s="84">
        <v>29710</v>
      </c>
      <c r="AE18" s="84">
        <v>5960</v>
      </c>
      <c r="AF18" s="84">
        <v>5960</v>
      </c>
      <c r="AG18" s="84">
        <v>19002</v>
      </c>
      <c r="AH18" s="84">
        <v>15525</v>
      </c>
      <c r="AI18" s="85">
        <v>5960</v>
      </c>
    </row>
    <row r="19" spans="3:35" x14ac:dyDescent="0.4">
      <c r="AA19" s="57">
        <v>11</v>
      </c>
      <c r="AB19" s="39" t="s">
        <v>133</v>
      </c>
      <c r="AC19" s="39" t="s">
        <v>131</v>
      </c>
      <c r="AD19" s="88">
        <f>AD15+AD17-AD18</f>
        <v>619510</v>
      </c>
      <c r="AE19" s="88">
        <f>AE15+AE17-AE18</f>
        <v>124040</v>
      </c>
      <c r="AF19" s="88">
        <f>AF15+AF17-AF18</f>
        <v>124040</v>
      </c>
      <c r="AG19" s="88">
        <f t="shared" ref="AG19:AH19" si="1">AG15+AG17-AG18</f>
        <v>396790</v>
      </c>
      <c r="AH19" s="88">
        <f t="shared" si="1"/>
        <v>172690.3</v>
      </c>
      <c r="AI19" s="89">
        <f>AI15+AI17-AI18</f>
        <v>124040</v>
      </c>
    </row>
    <row r="20" spans="3:35" x14ac:dyDescent="0.4">
      <c r="C20" s="69" t="s">
        <v>87</v>
      </c>
      <c r="D20" s="70" t="s">
        <v>71</v>
      </c>
      <c r="E20" s="70" t="s">
        <v>72</v>
      </c>
      <c r="F20" s="70" t="s">
        <v>89</v>
      </c>
      <c r="G20" s="70" t="s">
        <v>88</v>
      </c>
      <c r="H20" s="71" t="s">
        <v>90</v>
      </c>
      <c r="I20" s="91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7">
        <v>1</v>
      </c>
      <c r="D21" s="48" t="s">
        <v>76</v>
      </c>
      <c r="E21" s="48" t="s">
        <v>36</v>
      </c>
      <c r="F21" s="49">
        <v>476550</v>
      </c>
      <c r="G21" s="49">
        <v>142960</v>
      </c>
      <c r="H21" s="62">
        <f>F21+G21</f>
        <v>619510</v>
      </c>
      <c r="I21" s="49"/>
      <c r="AA21" s="39"/>
      <c r="AB21" s="39"/>
      <c r="AC21" s="39"/>
      <c r="AD21" s="83"/>
      <c r="AE21" s="39"/>
      <c r="AF21" s="39"/>
      <c r="AG21" s="83"/>
      <c r="AH21" s="39"/>
      <c r="AI21" s="39"/>
    </row>
    <row r="22" spans="3:35" x14ac:dyDescent="0.4">
      <c r="C22" s="47">
        <v>2</v>
      </c>
      <c r="D22" s="48" t="s">
        <v>77</v>
      </c>
      <c r="E22" s="48" t="s">
        <v>80</v>
      </c>
      <c r="F22" s="49">
        <v>95420</v>
      </c>
      <c r="G22" s="49">
        <v>28620</v>
      </c>
      <c r="H22" s="62">
        <f t="shared" ref="H22:H27" si="2">F22+G22</f>
        <v>124040</v>
      </c>
      <c r="I22" s="49"/>
      <c r="AD22" s="86"/>
      <c r="AE22" s="86"/>
      <c r="AF22" s="86"/>
      <c r="AG22" s="86"/>
      <c r="AH22" s="86"/>
    </row>
    <row r="23" spans="3:35" x14ac:dyDescent="0.4">
      <c r="C23" s="47">
        <v>3</v>
      </c>
      <c r="D23" s="48" t="s">
        <v>77</v>
      </c>
      <c r="E23" s="48" t="s">
        <v>47</v>
      </c>
      <c r="F23" s="49">
        <v>95420</v>
      </c>
      <c r="G23" s="49">
        <v>28620</v>
      </c>
      <c r="H23" s="62">
        <f t="shared" si="2"/>
        <v>124040</v>
      </c>
      <c r="I23" s="49"/>
      <c r="AH23" s="87"/>
    </row>
    <row r="24" spans="3:35" x14ac:dyDescent="0.4">
      <c r="C24" s="47">
        <v>4</v>
      </c>
      <c r="D24" s="48" t="s">
        <v>78</v>
      </c>
      <c r="E24" s="48" t="s">
        <v>81</v>
      </c>
      <c r="F24" s="49">
        <v>305200</v>
      </c>
      <c r="G24" s="49">
        <v>91560</v>
      </c>
      <c r="H24" s="62">
        <f t="shared" si="2"/>
        <v>396760</v>
      </c>
      <c r="I24" s="49"/>
      <c r="AH24" s="87"/>
    </row>
    <row r="25" spans="3:35" x14ac:dyDescent="0.4">
      <c r="C25" s="47">
        <v>5</v>
      </c>
      <c r="D25" s="48" t="s">
        <v>79</v>
      </c>
      <c r="E25" s="48" t="s">
        <v>49</v>
      </c>
      <c r="F25" s="49">
        <v>132840</v>
      </c>
      <c r="G25" s="49">
        <v>39850</v>
      </c>
      <c r="H25" s="62">
        <f t="shared" si="2"/>
        <v>172690</v>
      </c>
      <c r="I25" s="49"/>
    </row>
    <row r="26" spans="3:35" x14ac:dyDescent="0.4">
      <c r="C26" s="51">
        <v>6</v>
      </c>
      <c r="D26" s="52" t="s">
        <v>58</v>
      </c>
      <c r="E26" s="52" t="s">
        <v>56</v>
      </c>
      <c r="F26" s="53">
        <v>95420</v>
      </c>
      <c r="G26" s="53">
        <v>28620</v>
      </c>
      <c r="H26" s="62">
        <f t="shared" si="2"/>
        <v>124040</v>
      </c>
      <c r="I26" s="49"/>
    </row>
    <row r="27" spans="3:35" x14ac:dyDescent="0.4">
      <c r="C27" s="107" t="s">
        <v>91</v>
      </c>
      <c r="D27" s="108"/>
      <c r="E27" s="108"/>
      <c r="F27" s="53">
        <f>SUM(F21:F26)</f>
        <v>1200850</v>
      </c>
      <c r="G27" s="53">
        <f>SUM(G21:G26)</f>
        <v>360230</v>
      </c>
      <c r="H27" s="63">
        <f t="shared" si="2"/>
        <v>1561080</v>
      </c>
      <c r="I27" s="93"/>
    </row>
    <row r="30" spans="3:35" x14ac:dyDescent="0.4">
      <c r="C30" s="66" t="s">
        <v>87</v>
      </c>
      <c r="D30" s="67" t="s">
        <v>71</v>
      </c>
      <c r="E30" s="67" t="s">
        <v>72</v>
      </c>
      <c r="F30" s="67">
        <v>2024</v>
      </c>
      <c r="G30" s="67">
        <v>2025</v>
      </c>
      <c r="H30" s="67">
        <v>2026</v>
      </c>
      <c r="I30" s="67" t="s">
        <v>135</v>
      </c>
      <c r="J30" s="67" t="s">
        <v>136</v>
      </c>
      <c r="K30" s="94" t="s">
        <v>75</v>
      </c>
    </row>
    <row r="31" spans="3:35" x14ac:dyDescent="0.4">
      <c r="C31" s="38">
        <v>1</v>
      </c>
      <c r="D31" s="41" t="s">
        <v>76</v>
      </c>
      <c r="E31" s="41" t="s">
        <v>36</v>
      </c>
      <c r="F31" s="42"/>
      <c r="G31" s="42">
        <f>225880+324610</f>
        <v>550490</v>
      </c>
      <c r="H31" s="42">
        <v>619510</v>
      </c>
      <c r="I31" s="97" t="s">
        <v>151</v>
      </c>
      <c r="J31" s="96" t="s">
        <v>144</v>
      </c>
      <c r="K31" s="58" t="s">
        <v>148</v>
      </c>
    </row>
    <row r="32" spans="3:35" x14ac:dyDescent="0.4">
      <c r="C32" s="38">
        <v>2</v>
      </c>
      <c r="D32" s="41" t="s">
        <v>77</v>
      </c>
      <c r="E32" s="41" t="s">
        <v>80</v>
      </c>
      <c r="F32" s="42"/>
      <c r="G32" s="42">
        <v>75070</v>
      </c>
      <c r="H32" s="42">
        <v>124040</v>
      </c>
      <c r="I32" s="42" t="s">
        <v>137</v>
      </c>
      <c r="J32" s="41" t="s">
        <v>138</v>
      </c>
      <c r="K32" s="58" t="s">
        <v>149</v>
      </c>
    </row>
    <row r="33" spans="3:11" x14ac:dyDescent="0.4">
      <c r="C33" s="38">
        <v>3</v>
      </c>
      <c r="D33" s="41" t="s">
        <v>77</v>
      </c>
      <c r="E33" s="41" t="s">
        <v>47</v>
      </c>
      <c r="F33" s="42"/>
      <c r="G33" s="42">
        <v>121010</v>
      </c>
      <c r="H33" s="42">
        <v>124040</v>
      </c>
      <c r="I33" s="42" t="s">
        <v>145</v>
      </c>
      <c r="J33" s="41" t="s">
        <v>139</v>
      </c>
      <c r="K33" s="58" t="s">
        <v>150</v>
      </c>
    </row>
    <row r="34" spans="3:11" x14ac:dyDescent="0.4">
      <c r="C34" s="38">
        <v>4</v>
      </c>
      <c r="D34" s="41" t="s">
        <v>78</v>
      </c>
      <c r="E34" s="41" t="s">
        <v>81</v>
      </c>
      <c r="F34" s="42">
        <v>34680</v>
      </c>
      <c r="G34" s="42">
        <v>421560</v>
      </c>
      <c r="H34" s="42">
        <v>396760</v>
      </c>
      <c r="I34" s="42" t="s">
        <v>140</v>
      </c>
      <c r="J34" s="41" t="s">
        <v>141</v>
      </c>
      <c r="K34" s="58"/>
    </row>
    <row r="35" spans="3:11" x14ac:dyDescent="0.4">
      <c r="C35" s="38">
        <v>5</v>
      </c>
      <c r="D35" s="41" t="s">
        <v>79</v>
      </c>
      <c r="E35" s="41" t="s">
        <v>49</v>
      </c>
      <c r="F35" s="42">
        <v>200310</v>
      </c>
      <c r="G35" s="42">
        <v>186510</v>
      </c>
      <c r="H35" s="42">
        <v>172690</v>
      </c>
      <c r="I35" s="42" t="s">
        <v>142</v>
      </c>
      <c r="J35" s="41" t="s">
        <v>143</v>
      </c>
      <c r="K35" s="58"/>
    </row>
    <row r="36" spans="3:11" x14ac:dyDescent="0.4">
      <c r="C36" s="38">
        <v>6</v>
      </c>
      <c r="D36" s="41" t="s">
        <v>58</v>
      </c>
      <c r="E36" s="41" t="s">
        <v>56</v>
      </c>
      <c r="F36" s="42">
        <v>124040</v>
      </c>
      <c r="G36" s="42">
        <v>124040</v>
      </c>
      <c r="H36" s="42">
        <v>124040</v>
      </c>
      <c r="I36" s="42">
        <v>0</v>
      </c>
      <c r="J36" s="96">
        <v>0</v>
      </c>
      <c r="K36" s="58"/>
    </row>
    <row r="37" spans="3:11" x14ac:dyDescent="0.4">
      <c r="C37" s="105" t="s">
        <v>91</v>
      </c>
      <c r="D37" s="106"/>
      <c r="E37" s="106"/>
      <c r="F37" s="44">
        <f>SUM(F31:F36)</f>
        <v>359030</v>
      </c>
      <c r="G37" s="44">
        <f>SUM(G31:G36)</f>
        <v>1478680</v>
      </c>
      <c r="H37" s="95">
        <f t="shared" ref="H37" si="3">F37+G37</f>
        <v>1837710</v>
      </c>
      <c r="I37" s="95" t="s">
        <v>146</v>
      </c>
      <c r="J37" s="95" t="s">
        <v>147</v>
      </c>
      <c r="K37" s="60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user</cp:lastModifiedBy>
  <dcterms:created xsi:type="dcterms:W3CDTF">2023-06-16T02:39:32Z</dcterms:created>
  <dcterms:modified xsi:type="dcterms:W3CDTF">2026-03-12T04:25:59Z</dcterms:modified>
</cp:coreProperties>
</file>